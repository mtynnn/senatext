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iel\Desktop\Capstone\"/>
    </mc:Choice>
  </mc:AlternateContent>
  <xr:revisionPtr revIDLastSave="0" documentId="13_ncr:1_{6257D775-F9B0-4973-B092-49C14C551964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PORTADA" sheetId="1" r:id="rId1"/>
    <sheet name="MARCO TEORICO" sheetId="2" r:id="rId2"/>
    <sheet name="REGISTRO DE RIESGOS" sheetId="3" r:id="rId3"/>
    <sheet name="MATRIZ P x I" sheetId="4" r:id="rId4"/>
    <sheet name="PLAN DE RESPUESTA" sheetId="5" r:id="rId5"/>
    <sheet name="DASHBOARD CONTROL" sheetId="6" r:id="rId6"/>
    <sheet name="PLANTILLA ALUMNO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6" l="1"/>
  <c r="G7" i="6"/>
  <c r="F7" i="6"/>
  <c r="E7" i="6"/>
  <c r="D7" i="6"/>
  <c r="C7" i="6"/>
  <c r="B7" i="6"/>
  <c r="J22" i="3"/>
  <c r="I22" i="3"/>
  <c r="H22" i="3"/>
  <c r="G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</calcChain>
</file>

<file path=xl/sharedStrings.xml><?xml version="1.0" encoding="utf-8"?>
<sst xmlns="http://schemas.openxmlformats.org/spreadsheetml/2006/main" count="802" uniqueCount="530">
  <si>
    <t>PLANTILLA PLAN DE GESTION DE RIESGOS — [Nombre de tu Proyecto]</t>
  </si>
  <si>
    <t>INSTRUCCION: Completa cada seccion con los datos de tu proyecto informatico. Sigue el orden: 1) Datos del proyecto → 2) Identificar riesgos → 3) Valorar P e I → 4) Definir estrategia → 5) Plan de respuesta. Borra los textos en gris y escribe tus respuestas reales.</t>
  </si>
  <si>
    <t>DATOS DEL PROYECTO</t>
  </si>
  <si>
    <t>Nombre del Proyecto</t>
  </si>
  <si>
    <t>Aplicación de Traducción de Frases Médicas</t>
  </si>
  <si>
    <t>Objetivo del Proyecto</t>
  </si>
  <si>
    <t>Facilitar la comunicación entre el personal médico y los pacientes mediante un sistema de traducción de frases críticas de salud.</t>
  </si>
  <si>
    <t>Sponsor / Cliente</t>
  </si>
  <si>
    <t>Centro de Salud (CESFAM) / Hospitales</t>
  </si>
  <si>
    <t>Gerente de Proyecto</t>
  </si>
  <si>
    <t>Ariel Valverde</t>
  </si>
  <si>
    <t>Fecha de Inicio</t>
  </si>
  <si>
    <t>Agosto 2026</t>
  </si>
  <si>
    <t>Fecha de Termino Estimada</t>
  </si>
  <si>
    <t>Noviembre 2026</t>
  </si>
  <si>
    <t>Presupuesto Total</t>
  </si>
  <si>
    <t>Presupuesto Académico (Proyecto de Título Capstone)</t>
  </si>
  <si>
    <t>Equipo de Proyecto (roles)</t>
  </si>
  <si>
    <t>Desarrollador, Scrum Master, Product Owner, Diseñador UX/UI, Analista de Procesos, Arquitecto de Software</t>
  </si>
  <si>
    <t>REGISTRO DE RIESGOS — Completa al menos 8 riesgos de tu proyecto</t>
  </si>
  <si>
    <t>P = Probabilidad (1 a 5)  |  I = Impacto (1 a 5)  |  NR = P x I  |  Nivel: BAJO (1-4) / MEDIO (5-9) / ALTO (10-14) / CRITICO (15-25)  |  Estrategia: Evitar / Transferir / Mitigar / Aceptar / Explotar</t>
  </si>
  <si>
    <t>ID</t>
  </si>
  <si>
    <t>Categoria</t>
  </si>
  <si>
    <t>Descripcion del Riesgo</t>
  </si>
  <si>
    <t>Causa Raiz</t>
  </si>
  <si>
    <t>Consecuencia si Ocurre</t>
  </si>
  <si>
    <t>P</t>
  </si>
  <si>
    <t>I</t>
  </si>
  <si>
    <t>NR</t>
  </si>
  <si>
    <t>Nivel</t>
  </si>
  <si>
    <t>Tipo</t>
  </si>
  <si>
    <t>Estrategia</t>
  </si>
  <si>
    <t>Responsable</t>
  </si>
  <si>
    <t>Estado</t>
  </si>
  <si>
    <t>R-01</t>
  </si>
  <si>
    <t>Técnico</t>
  </si>
  <si>
    <t>Caída o mala configuración del servidor de alojamiento.</t>
  </si>
  <si>
    <t>Errores en la configuración o fallas del proveedor en la nube.</t>
  </si>
  <si>
    <t>Inaccesibilidad a la aplicación y bases de datos, afectando el desarrollo.</t>
  </si>
  <si>
    <t>MEDIO</t>
  </si>
  <si>
    <t>Amenaza</t>
  </si>
  <si>
    <t>Mitigar</t>
  </si>
  <si>
    <t>Arquitecto de Software</t>
  </si>
  <si>
    <t>Activo</t>
  </si>
  <si>
    <t>R-02</t>
  </si>
  <si>
    <t>Negocio / Requisitos</t>
  </si>
  <si>
    <t>Las 20 a 30 frases médicas iniciales no cubren las necesidades críticas.</t>
  </si>
  <si>
    <t>Falta de validación profunda con el personal médico de urgencia.</t>
  </si>
  <si>
    <t>Baja adopción de la aplicación en el CESFAM y problemas de comunicación.</t>
  </si>
  <si>
    <t>ALTO</t>
  </si>
  <si>
    <t>Evitar</t>
  </si>
  <si>
    <t>Product Owner</t>
  </si>
  <si>
    <t>R-03</t>
  </si>
  <si>
    <t>Diseño UX/UI</t>
  </si>
  <si>
    <t>Incompatibilidad o mala usabilidad del diseño en dispositivos de pacientes.</t>
  </si>
  <si>
    <t>Uso de diseños complejos o incompatibles con dispositivos de gama baja.</t>
  </si>
  <si>
    <t>Usuarios finales no podrán utilizar el módulo de traducción correctamente.</t>
  </si>
  <si>
    <t>Diseñador UX/UI</t>
  </si>
  <si>
    <t>R-04</t>
  </si>
  <si>
    <t>Planificación</t>
  </si>
  <si>
    <t>Retraso en el desarrollo del módulo principal de traducción.</t>
  </si>
  <si>
    <t>Subestimación del tiempo necesario para codificar la interfaz y la BD.</t>
  </si>
  <si>
    <t>Incumplimiento de la fecha de término del Sprint o proyecto general.</t>
  </si>
  <si>
    <t>Desarrollador / Scrum Master</t>
  </si>
  <si>
    <t>R-05</t>
  </si>
  <si>
    <t>Pérdida de código o conflictos graves en el repositorio de GitHub.</t>
  </si>
  <si>
    <t>Mala gestión de ramas (branching) o configuración incorrecta de accesos.</t>
  </si>
  <si>
    <t>Pérdida de funcionalidades, necesidad de retrabajo y bloqueos del equipo.</t>
  </si>
  <si>
    <t>Desarrollador</t>
  </si>
  <si>
    <t>R-06</t>
  </si>
  <si>
    <t>Calidad</t>
  </si>
  <si>
    <t>El diagrama de procesos no refleja el flujo real de atención médica.</t>
  </si>
  <si>
    <t>Falta de levantamiento de información o no validación con stakeholders.</t>
  </si>
  <si>
    <t>Desarrollo de un sistema desalineado con la realidad del recinto de salud.</t>
  </si>
  <si>
    <t>Analista de Procesos</t>
  </si>
  <si>
    <t>R-07</t>
  </si>
  <si>
    <t>Seguridad</t>
  </si>
  <si>
    <t>Accesos no autorizados a la base de datos o servidor.</t>
  </si>
  <si>
    <t>Configuración deficiente de seguridad y accesos remotos.</t>
  </si>
  <si>
    <t>Posible vulneración de datos del proyecto y configuraciones del servidor.</t>
  </si>
  <si>
    <t>R-08</t>
  </si>
  <si>
    <t>Comunicación</t>
  </si>
  <si>
    <t>Problemas de comunicación y coordinación en el equipo ágil.</t>
  </si>
  <si>
    <t>Falta de reuniones de seguimiento o no uso de la herramienta de backlog.</t>
  </si>
  <si>
    <t>Bloqueos entre tareas dependientes y desalineación de los entregables.</t>
  </si>
  <si>
    <t>Scrum Master</t>
  </si>
  <si>
    <t>R-09</t>
  </si>
  <si>
    <t>R-10</t>
  </si>
  <si>
    <t>R-11</t>
  </si>
  <si>
    <t>R-12</t>
  </si>
  <si>
    <t>PLAN DE RESPUESTA — Una fila por cada riesgo identificado</t>
  </si>
  <si>
    <t>Accion Preventiva (antes que ocurra)</t>
  </si>
  <si>
    <t>Accion Correctiva / Contingencia (si ya ocurrio)</t>
  </si>
  <si>
    <t>Propietario</t>
  </si>
  <si>
    <t>Fecha Limite</t>
  </si>
  <si>
    <t>Costo Estimado</t>
  </si>
  <si>
    <t>KRI — Indicador de Alerta</t>
  </si>
  <si>
    <t>CRÍTICO</t>
  </si>
  <si>
    <t>Realizar diagnóstico técnico exhaustivo de los sistemas legados antes de diseñar la arquitectura.</t>
  </si>
  <si>
    <t>Desarrollar una capa de integración intermedia (middleware) para aislar incompatibilidades.</t>
  </si>
  <si>
    <t>Mes 2</t>
  </si>
  <si>
    <t>% de APIs de sistemas legados sin documentación &gt; 15%</t>
  </si>
  <si>
    <t>Levantar el estado de la red y exigir mejora de ancho de banda (mín. 20 Mbps).</t>
  </si>
  <si>
    <t>Habilitar un modo "offline" básico o reducir la transmisión de datos gráficos pesados.</t>
  </si>
  <si>
    <t>Mes 3</t>
  </si>
  <si>
    <t>Velocidad de red en nodos críticos &lt; 20 Mbps detectada</t>
  </si>
  <si>
    <t>Crear scripts de limpieza y migrar los datos en un ambiente de pruebas primero.</t>
  </si>
  <si>
    <t>Detener la migración, limpiar base de origen y reiniciar proceso con datos corregidos.</t>
  </si>
  <si>
    <t>Analista de Datos</t>
  </si>
  <si>
    <t>Mes 6</t>
  </si>
  <si>
    <t>Tasa de inconsistencia en ambiente de prueba &gt; 2%</t>
  </si>
  <si>
    <t>Implementar pruebas de penetración (pentest) y cifrar datos médicos sensibles.</t>
  </si>
  <si>
    <t>Aislar el módulo, activar plan de respuesta a incidentes y notificar según Ley 19.628.</t>
  </si>
  <si>
    <t>Especialista en Ciberseguridad</t>
  </si>
  <si>
    <t>Mes 8</t>
  </si>
  <si>
    <t>Hallazgo de vulnerabilidad en revisión de código o pentest</t>
  </si>
  <si>
    <t>Plan de gestión del cambio temprano y diseñar una UI/UX muy intuitiva.</t>
  </si>
  <si>
    <t>Extender marcha blanca con soporte técnico presencial en los hospitales.</t>
  </si>
  <si>
    <t>Especialista UX</t>
  </si>
  <si>
    <t>Mes 9</t>
  </si>
  <si>
    <t>Asistencia a capacitaciones del personal médico &lt; 70%</t>
  </si>
  <si>
    <t>Estimar usando método PERT y aplicar control de cambios estricto al alcance.</t>
  </si>
  <si>
    <t>Reducir el alcance de entregables no críticos y reasignar horas extra al equipo.</t>
  </si>
  <si>
    <t>Mensual</t>
  </si>
  <si>
    <t>Atraso acumulado en la ruta crítica &gt; 1 semana</t>
  </si>
  <si>
    <t>Mantener comunicación activa y reportes de estado transparentes con Minsal y Hospital.</t>
  </si>
  <si>
    <t>Activar plan de contingencia comunicacional explicando las razones de los desvíos.</t>
  </si>
  <si>
    <t>Incremento de quejas institucionales formales &gt; 0</t>
  </si>
  <si>
    <t>Pruebas de estrés y carga (load testing) simulando 12.000 usuarios concurrentes.</t>
  </si>
  <si>
    <t>Escalar servidores temporalmente y habilitar caché/CDN de emergencia.</t>
  </si>
  <si>
    <t>Ingenieros Testing (QA)</t>
  </si>
  <si>
    <t>Tiempo de respuesta del servidor &gt; 3 segundos bajo estrés</t>
  </si>
  <si>
    <t>(Explotar) Asignar al equipo tareas complejas tempranas para acelerar su aprendizaje.</t>
  </si>
  <si>
    <t>(Si ocurre) Ajustar cronograma para adelantar la fecha de entregas (ahorro de tiempo).</t>
  </si>
  <si>
    <t>Sprint 3</t>
  </si>
  <si>
    <t>Velocidad del equipo aumenta un 20% antes del Sprint 3</t>
  </si>
  <si>
    <t>CHECKLIST DE CALIDAD DEL PLAN — Verifica antes de entregar</t>
  </si>
  <si>
    <t>Item de Verificacion</t>
  </si>
  <si>
    <t>Estado (OK / Pendiente)</t>
  </si>
  <si>
    <t>¿Identificaste al menos 8 riesgos relevantes para un proyecto TI?</t>
  </si>
  <si>
    <t>OK</t>
  </si>
  <si>
    <t>¿Cada riesgo tiene una causa raiz identificada (no solo el sintoma)?</t>
  </si>
  <si>
    <t>¿Completaste P, I y NR para todos los riesgos?</t>
  </si>
  <si>
    <t>¿El nivel (BAJO/MEDIO/ALTO/CRITICO) es coherente con el NR calculado?</t>
  </si>
  <si>
    <t>¿Cada riesgo tiene una estrategia de respuesta definida?</t>
  </si>
  <si>
    <t>¿El plan de respuesta incluye tanto accion preventiva como correctiva?</t>
  </si>
  <si>
    <t>¿Cada accion tiene un responsable y una fecha limite?</t>
  </si>
  <si>
    <t>¿Definiste al menos 1 KRI (indicador de alerta) por riesgo?</t>
  </si>
  <si>
    <t>¿Incluiste al menos 1 oportunidad (riesgo positivo) en el registro?</t>
  </si>
  <si>
    <t>¿El plan es realista para el tamano y recursos del proyecto?</t>
  </si>
  <si>
    <t>PLAN DE GESTION DE RIESGOS</t>
  </si>
  <si>
    <t>Proyecto: SistemaVentas 360 — Implementacion de Sistema Integrado de Ventas e Inventario</t>
  </si>
  <si>
    <t>Metodologia: PMI PMBOK  |  Estandar: ISO 31000  |  Version: 1.0</t>
  </si>
  <si>
    <t>SistemaVentas 360</t>
  </si>
  <si>
    <t>Tipo de Proyecto</t>
  </si>
  <si>
    <t>Desarrollo e Implementacion de Software ERP</t>
  </si>
  <si>
    <t>Cliente / Sponsor</t>
  </si>
  <si>
    <t>TecnoVentas S.A.</t>
  </si>
  <si>
    <t>[Nombre del PM]</t>
  </si>
  <si>
    <t>Version del Documento</t>
  </si>
  <si>
    <t>1.0</t>
  </si>
  <si>
    <t>Fecha de Creacion</t>
  </si>
  <si>
    <t>[dd/mm/aaaa]</t>
  </si>
  <si>
    <t>Ultima Actualizacion</t>
  </si>
  <si>
    <t>Estado del Proyecto</t>
  </si>
  <si>
    <t>En ejecucion</t>
  </si>
  <si>
    <t>CONTENIDO DEL PLAN</t>
  </si>
  <si>
    <t>1. PORTADA</t>
  </si>
  <si>
    <t>Datos del proyecto y resumen ejecutivo.</t>
  </si>
  <si>
    <t>2. MARCO TEORICO</t>
  </si>
  <si>
    <t>Conceptos de gestion de riesgos, metodologia y escalas usadas.</t>
  </si>
  <si>
    <t>3. REGISTRO DE RIESGOS</t>
  </si>
  <si>
    <t>Catalogo completo con 15 riesgos TI identificados, valorados y priorizados.</t>
  </si>
  <si>
    <t>4. MATRIZ PROBABILIDAD</t>
  </si>
  <si>
    <t>Matriz de calor 5x5 con la ubicacion visual de cada riesgo.</t>
  </si>
  <si>
    <t>5. PLAN DE RESPUESTA</t>
  </si>
  <si>
    <t>Estrategia, acciones y responsables para cada riesgo.</t>
  </si>
  <si>
    <t>6. DASHBOARD CONTROL</t>
  </si>
  <si>
    <t>Semaforo de estado actual, KRI y resumen ejecutivo con graficos.</t>
  </si>
  <si>
    <t>7. PLANTILLA EN BLANCO</t>
  </si>
  <si>
    <t>Plantilla editable para que los estudiantes documenten su propio proyecto.</t>
  </si>
  <si>
    <t>INSTRUCCION PARA ESTUDIANTES: Lee este plan de izquierda a derecha. Comienza con el Marco Teorico para entender los conceptos, luego estudia el Registro de Riesgos y el Plan de Respuesta. Finalmente usa la Plantilla en Blanco para construir el plan de tu propio proyecto informatico.</t>
  </si>
  <si>
    <t>MARCO TEORICO — Gestion de Riesgos en Proyectos TI</t>
  </si>
  <si>
    <t>Basado en PMBOK 6a Ed. (PMI) e ISO 31000:2018</t>
  </si>
  <si>
    <t>QUE ES LA GESTION DE RIESGOS</t>
  </si>
  <si>
    <t>Concepto</t>
  </si>
  <si>
    <t>Definicion</t>
  </si>
  <si>
    <t>Ejemplo Aplicado</t>
  </si>
  <si>
    <t>Riesgo</t>
  </si>
  <si>
    <t>Evento o condicion incierta que, si ocurre, tiene un efecto positivo o negativo en los objetivos del proyecto.</t>
  </si>
  <si>
    <t>Ejemplo: Un proveedor de software no entrega a tiempo puede retrasar el proyecto 3 semanas.</t>
  </si>
  <si>
    <t>Probabilidad</t>
  </si>
  <si>
    <t>Posibilidad de que el riesgo ocurra. Se mide en escala del 1 al 5 (Muy baja a Muy alta).</t>
  </si>
  <si>
    <t>Ejemplo: Probabilidad 4 (Alta) = existe evidencia de que ha ocurrido en proyectos similares.</t>
  </si>
  <si>
    <t>Impacto</t>
  </si>
  <si>
    <t>Magnitud del efecto si el riesgo ocurre. Se mide en escala del 1 al 5 (Muy bajo a Muy alto).</t>
  </si>
  <si>
    <t>Ejemplo: Impacto 5 (Muy alto) = el proyecto se cancela o el costo sube mas del 40%.</t>
  </si>
  <si>
    <t>Nivel de Riesgo</t>
  </si>
  <si>
    <t>Probabilidad x Impacto. Determina la prioridad de atencion. Puede ser CRITICO, ALTO, MEDIO o BAJO.</t>
  </si>
  <si>
    <t>Ejemplo: P=4 x I=4 = 16 = CRITICO. Requiere accion inmediata.</t>
  </si>
  <si>
    <t>Riesgo con impacto NEGATIVO en el proyecto. Debe minimizarse o eliminarse.</t>
  </si>
  <si>
    <t>Ejemplo: Falla de seguridad que expone datos de clientes.</t>
  </si>
  <si>
    <t>Oportunidad</t>
  </si>
  <si>
    <t>Riesgo con impacto POSITIVO en el proyecto. Debe aprovecharse.</t>
  </si>
  <si>
    <t>Ejemplo: Nueva tecnologia que reduce el tiempo de desarrollo a la mitad.</t>
  </si>
  <si>
    <t>ESCALA DE PROBABILIDAD (1-5)</t>
  </si>
  <si>
    <t>Valor</t>
  </si>
  <si>
    <t>Criterio / Descripcion</t>
  </si>
  <si>
    <t>MUY BAJA</t>
  </si>
  <si>
    <t>1</t>
  </si>
  <si>
    <t>Muy improbable. Ocurre en menos del 10% de proyectos similares. Sin historial de ocurrencia.</t>
  </si>
  <si>
    <t>BAJA</t>
  </si>
  <si>
    <t>2</t>
  </si>
  <si>
    <t>Improbable. Ocurre entre 10% y 30%. Pocos antecedentes en proyectos similares.</t>
  </si>
  <si>
    <t>MEDIA</t>
  </si>
  <si>
    <t>3</t>
  </si>
  <si>
    <t>Posible. Ocurre entre 30% y 50%. Se ha visto en algunos proyectos del mismo tipo.</t>
  </si>
  <si>
    <t>ALTA</t>
  </si>
  <si>
    <t>4</t>
  </si>
  <si>
    <t>Probable. Ocurre entre 50% y 70%. Hay evidencia clara de ocurrencia en proyectos similares.</t>
  </si>
  <si>
    <t>MUY ALTA</t>
  </si>
  <si>
    <t>5</t>
  </si>
  <si>
    <t>Casi certeza. Ocurre en mas del 70%. Ha ocurrido en este tipo de proyectos anteriores.</t>
  </si>
  <si>
    <t>ESCALA DE IMPACTO (1-5)</t>
  </si>
  <si>
    <t>MUY BAJO</t>
  </si>
  <si>
    <t>Impacto insignificante. Retraso &lt; 1 semana, costo adicional &lt; 5%. No afecta entregables.</t>
  </si>
  <si>
    <t>BAJO</t>
  </si>
  <si>
    <t>Impacto menor. Retraso 1-2 semanas, costo adicional 5-10%. Ajuste menor de alcance.</t>
  </si>
  <si>
    <t>Impacto moderado. Retraso 2-4 semanas, costo adicional 10-20%. Requiere aprobacion del sponsor.</t>
  </si>
  <si>
    <t>Impacto significativo. Retraso 1-2 meses, costo adicional 20-40%. Cambio mayor en el proyecto.</t>
  </si>
  <si>
    <t>MUY ALTO</t>
  </si>
  <si>
    <t>Impacto critico. Retraso &gt; 2 meses, costo adicional &gt; 40% o cancelacion del proyecto.</t>
  </si>
  <si>
    <t>CLASIFICACION DEL NIVEL DE RIESGO (NR = Probabilidad x Impacto)</t>
  </si>
  <si>
    <t>Rango NR</t>
  </si>
  <si>
    <t>Clasificacion</t>
  </si>
  <si>
    <t>Accion Requerida</t>
  </si>
  <si>
    <t>1 – 4</t>
  </si>
  <si>
    <t>Monitorear periodicamente. Accion solo si escala. Responsable: PM.</t>
  </si>
  <si>
    <t>5 – 9</t>
  </si>
  <si>
    <t>Plan de contingencia preparado. Revision mensual. Responsable: PM + Area afectada.</t>
  </si>
  <si>
    <t>10 – 14</t>
  </si>
  <si>
    <t>Respuesta activa. Revision semanal. Escalar al Sponsor si no se controla.</t>
  </si>
  <si>
    <t>15 – 25</t>
  </si>
  <si>
    <t>CRITICO</t>
  </si>
  <si>
    <t>Accion INMEDIATA. Reunion de emergencia. Escalar al Comite de Proyecto.</t>
  </si>
  <si>
    <t>ESTRATEGIAS DE RESPUESTA A RIESGOS</t>
  </si>
  <si>
    <t>Descripcion</t>
  </si>
  <si>
    <t>Cuando Usarla — Ejemplo TI</t>
  </si>
  <si>
    <t>EVITAR</t>
  </si>
  <si>
    <t>Eliminar la causa del riesgo cambiando el plan del proyecto.</t>
  </si>
  <si>
    <t>Cambiar la tecnologia de base de datos por una mas estable para evitar problemas de compatibilidad.</t>
  </si>
  <si>
    <t>TRANSFERIR</t>
  </si>
  <si>
    <t>Trasladar el impacto a un tercero (contrato, seguro, outsourcing).</t>
  </si>
  <si>
    <t>Contratar un proveedor de nube con SLA garantizado para que asuma el riesgo de disponibilidad del servidor.</t>
  </si>
  <si>
    <t>MITIGAR</t>
  </si>
  <si>
    <t>Reducir la probabilidad y/o el impacto del riesgo.</t>
  </si>
  <si>
    <t>Implementar revisiones de codigo (code review) semanales para reducir la probabilidad de bugs criticos.</t>
  </si>
  <si>
    <t>ACEPTAR</t>
  </si>
  <si>
    <t>Reconocer el riesgo y no tomar accion proactiva (activa o pasiva).</t>
  </si>
  <si>
    <t>Aceptar el riesgo de fluctuacion de precios de licencias menores. Solo documentar y reservar presupuesto.</t>
  </si>
  <si>
    <t>EXPLOTAR</t>
  </si>
  <si>
    <t>(Solo oportunidades) Asegurar que la oportunidad ocurra.</t>
  </si>
  <si>
    <t>Asignar al mejor desarrollador al modulo critico para maximizar la probabilidad de entrega anticipada.</t>
  </si>
  <si>
    <t>REGISTRO DE RIESGOS — Proyecto SistemaVentas 360</t>
  </si>
  <si>
    <t>Proyecto: Implementacion de Sistema ERP de Ventas e Inventario  |  Total de Riesgos Identificados: 15</t>
  </si>
  <si>
    <t>COMO LEER ESTA TABLA: P = Probabilidad (1-5)  |  I = Impacto (1-5)  |  NR = P x I (Nivel de Riesgo)  |  CRITICO (15-25) = rojo oscuro  |  ALTO (10-14) = rojo claro  |  MEDIO (5-9) = amarillo  |  BAJO (1-4) = verde</t>
  </si>
  <si>
    <t>Tecnico</t>
  </si>
  <si>
    <t>Incompatibilidad entre el nuevo sistema ERP y los sistemas legados de inventario existentes.</t>
  </si>
  <si>
    <t>No se realizo analisis de compatibilidad previo al inicio del proyecto.</t>
  </si>
  <si>
    <t>Paralisis de la integracion. Retraso de 4-6 semanas y costo adicional estimado en $8M.</t>
  </si>
  <si>
    <t>Proveedor</t>
  </si>
  <si>
    <t>El proveedor del modulo de pagos no entrega el API en el plazo acordado.</t>
  </si>
  <si>
    <t>Contrato sin penalidades por incumplimiento de hitos.</t>
  </si>
  <si>
    <t>Retraso en el modulo de ventas online. Impacto directo en la fecha de lanzamiento.</t>
  </si>
  <si>
    <t>Transferir</t>
  </si>
  <si>
    <t>Vulnerabilidad de seguridad en el modulo de autenticacion de usuarios expone datos de clientes.</t>
  </si>
  <si>
    <t>Falta de pruebas de penetracion (pentest) durante el desarrollo.</t>
  </si>
  <si>
    <t>Filtro de datos de 50.000 clientes. Multas regulatorias y dano reputacional grave.</t>
  </si>
  <si>
    <t>Lider de Seguridad</t>
  </si>
  <si>
    <t>Alcance</t>
  </si>
  <si>
    <t>Cambios continuos en los requerimientos por parte del cliente durante el desarrollo.</t>
  </si>
  <si>
    <t>Falta de un proceso formal de control de cambios (Change Management).</t>
  </si>
  <si>
    <t>Incremento del 30% en el alcance sin ajuste de presupuesto ni cronograma.</t>
  </si>
  <si>
    <t>Recursos Humanos</t>
  </si>
  <si>
    <t>Renuncia de desarrolladores clave durante la fase critica de implementacion.</t>
  </si>
  <si>
    <t>Alta demanda de perfiles tecnicos en el mercado y falta de plan de retencion.</t>
  </si>
  <si>
    <t>Perdida de conocimiento critico. Retraso de 3-8 semanas en modulos asignados.</t>
  </si>
  <si>
    <t>Gerente de RRHH</t>
  </si>
  <si>
    <t>El sistema presenta errores criticos (bugs) en el modulo de facturacion al momento del go-live.</t>
  </si>
  <si>
    <t>Insuficientes pruebas de integracion y UAT antes del lanzamiento.</t>
  </si>
  <si>
    <t>Sistema inoperativo en produccion. Perdida de ventas durante el tiempo de correccion.</t>
  </si>
  <si>
    <t>Lider QA</t>
  </si>
  <si>
    <t>Tecnologico</t>
  </si>
  <si>
    <t>El servidor de produccion en la nube no soporta la carga de usuarios concurrentes esperada.</t>
  </si>
  <si>
    <t>Estimacion incorrecta de la carga de trabajo en la fase de arquitectura.</t>
  </si>
  <si>
    <t>Caidas del sistema en horas pico. Experiencia de usuario degradada y perdida de ventas.</t>
  </si>
  <si>
    <t>Arquitecto de Nube</t>
  </si>
  <si>
    <t>Presupuesto</t>
  </si>
  <si>
    <t>El costo del proyecto supera el presupuesto aprobado en mas de un 25%.</t>
  </si>
  <si>
    <t>Estimaciones iniciales sin reservas de contingencia adecuadas.</t>
  </si>
  <si>
    <t>Cancelacion del proyecto o reduccion del alcance. Conflicto con el sponsor.</t>
  </si>
  <si>
    <t>Integracion</t>
  </si>
  <si>
    <t>La migracion de datos historicos desde el sistema antiguo genera inconsistencias o perdida de datos.</t>
  </si>
  <si>
    <t>Sin plan formal de migracion ni validacion de calidad de datos en el sistema origen.</t>
  </si>
  <si>
    <t>Datos de clientes e historial de ventas incorrectos en el nuevo sistema. Impacto operacional.</t>
  </si>
  <si>
    <t>Lider de Base de Datos</t>
  </si>
  <si>
    <t>Usuarios Finales</t>
  </si>
  <si>
    <t>Los usuarios finales rechazan el nuevo sistema por falta de capacitacion y resistencia al cambio.</t>
  </si>
  <si>
    <t>Plan de gestion del cambio (Change Management) insuficiente o tardio.</t>
  </si>
  <si>
    <t>Baja adopcion del sistema. El negocio sigue usando procesos manuales en paralelo.</t>
  </si>
  <si>
    <t>Lider de Change Mgmt</t>
  </si>
  <si>
    <t>Legal / Regulatorio</t>
  </si>
  <si>
    <t>El sistema no cumple con la normativa de proteccion de datos personales vigente.</t>
  </si>
  <si>
    <t>Falta de revision juridica del diseno del sistema durante la fase de analisis.</t>
  </si>
  <si>
    <t>Multas regulatorias, suspension del sistema y costo legal elevado.</t>
  </si>
  <si>
    <t>Abogado de Proyecto</t>
  </si>
  <si>
    <t>Comunicaciones</t>
  </si>
  <si>
    <t>Falta de comunicacion entre el equipo de desarrollo y el equipo de negocio genera malentendidos.</t>
  </si>
  <si>
    <t>No existe un protocolo formal de comunicacion ni reuniones de seguimiento regulares.</t>
  </si>
  <si>
    <t>Requerimientos mal interpretados que generan retrabajo y retrasos en entregas.</t>
  </si>
  <si>
    <t>R-13</t>
  </si>
  <si>
    <t>La tecnologia elegida (framework) queda obsoleta o sin soporte durante el proyecto.</t>
  </si>
  <si>
    <t>Ciclo de vida corto de las tecnologias en el ecosistema escogido.</t>
  </si>
  <si>
    <t>Costo adicional de migracion tecnologica. Riesgo de seguridad por falta de parches.</t>
  </si>
  <si>
    <t>Aceptar</t>
  </si>
  <si>
    <t>Monitoreo</t>
  </si>
  <si>
    <t>R-14</t>
  </si>
  <si>
    <t>Una nueva API de integracion del proveedor permite reducir el tiempo de desarrollo del modulo de pagos.</t>
  </si>
  <si>
    <t>Lanzamiento de nueva version del SDK del proveedor durante el proyecto.</t>
  </si>
  <si>
    <t>Reduccion de 2 semanas en el cronograma y ahorro de $1.5M en desarrollo.</t>
  </si>
  <si>
    <t>Explotar</t>
  </si>
  <si>
    <t>Lider Tecnico</t>
  </si>
  <si>
    <t>R-15</t>
  </si>
  <si>
    <t>El equipo de desarrollo adquiere experiencia en la nueva plataforma y puede reducir tiempos en futuros sprints.</t>
  </si>
  <si>
    <t>Curva de aprendizaje en nuevas tecnologias completada en los primeros 2 sprints.</t>
  </si>
  <si>
    <t>Velocidad del equipo aumenta un 20% a partir del Sprint 3. Entregas mas rapidas.</t>
  </si>
  <si>
    <t>TOTALES / RESUMEN</t>
  </si>
  <si>
    <t>MATRIZ DE PROBABILIDAD vs IMPACTO — SistemaVentas 360</t>
  </si>
  <si>
    <t>Cada celda muestra los riesgos que caen en esa combinacion de Probabilidad (eje vertical) e Impacto (eje horizontal). Colores: VERDE=Bajo | AMARILLO=Medio | ROJO=Alto | ROJO OSCURO=Critico</t>
  </si>
  <si>
    <t>IMPACTO -&gt;</t>
  </si>
  <si>
    <t>1-MUY BAJO</t>
  </si>
  <si>
    <t>2-BAJO</t>
  </si>
  <si>
    <t>3-MEDIO</t>
  </si>
  <si>
    <t>4-ALTO</t>
  </si>
  <si>
    <t>5-MUY ALTO</t>
  </si>
  <si>
    <t>LEYENDA DE RIESGOS EN MATRIZ</t>
  </si>
  <si>
    <t>5-MUY ALTA</t>
  </si>
  <si>
    <t>NR=5
—</t>
  </si>
  <si>
    <t>NR=10
—</t>
  </si>
  <si>
    <t>NR=15
—</t>
  </si>
  <si>
    <t>NR=20
R-04</t>
  </si>
  <si>
    <t>NR=25
—</t>
  </si>
  <si>
    <t>R-01 (P=4, I=5, NR=20)</t>
  </si>
  <si>
    <t>Incompatibilidad entre el nuevo sistema ERP y los sistemas l...</t>
  </si>
  <si>
    <t>4-ALTA</t>
  </si>
  <si>
    <t>NR=4
—</t>
  </si>
  <si>
    <t>NR=8
—</t>
  </si>
  <si>
    <t>NR=12
R-10  R-12  R-15</t>
  </si>
  <si>
    <t>NR=16
R-09</t>
  </si>
  <si>
    <t>NR=20
R-01</t>
  </si>
  <si>
    <t>R-02 (P=3, I=4, NR=12)</t>
  </si>
  <si>
    <t>El proveedor del modulo de pagos no entrega el API en el pla...</t>
  </si>
  <si>
    <t>3-MEDIA</t>
  </si>
  <si>
    <t>NR=3
—</t>
  </si>
  <si>
    <t>NR=6
—</t>
  </si>
  <si>
    <t>NR=9
—</t>
  </si>
  <si>
    <t>NR=12
R-02  R-07  R-08  R-14</t>
  </si>
  <si>
    <t>NR=15
R-05  R-06</t>
  </si>
  <si>
    <t>R-03 (P=2, I=5, NR=10)</t>
  </si>
  <si>
    <t>Vulnerabilidad de seguridad en el modulo de autenticacion de...</t>
  </si>
  <si>
    <t>2-BAJA</t>
  </si>
  <si>
    <t>NR=2
—</t>
  </si>
  <si>
    <t>NR=6
R-13</t>
  </si>
  <si>
    <t>NR=10
R-03  R-11</t>
  </si>
  <si>
    <t>R-04 (P=5, I=4, NR=20)</t>
  </si>
  <si>
    <t>Cambios continuos en los requerimientos por parte del client...</t>
  </si>
  <si>
    <t>1-MUY BAJA</t>
  </si>
  <si>
    <t>NR=1
—</t>
  </si>
  <si>
    <t>R-05 (P=3, I=5, NR=15)</t>
  </si>
  <si>
    <t>Renuncia de desarrolladores clave durante la fase critica de...</t>
  </si>
  <si>
    <t>R-06 (P=3, I=5, NR=15)</t>
  </si>
  <si>
    <t>El sistema presenta errores criticos (bugs) en el modulo de ...</t>
  </si>
  <si>
    <t>R-07 (P=3, I=4, NR=12)</t>
  </si>
  <si>
    <t>El servidor de produccion en la nube no soporta la carga de ...</t>
  </si>
  <si>
    <t>R-08 (P=3, I=4, NR=12)</t>
  </si>
  <si>
    <t>El costo del proyecto supera el presupuesto aprobado en mas ...</t>
  </si>
  <si>
    <t>R-09 (P=4, I=4, NR=16)</t>
  </si>
  <si>
    <t>La migracion de datos historicos desde el sistema antiguo ge...</t>
  </si>
  <si>
    <t>R-10 (P=4, I=3, NR=12)</t>
  </si>
  <si>
    <t>Los usuarios finales rechazan el nuevo sistema por falta de ...</t>
  </si>
  <si>
    <t>R-11 (P=2, I=5, NR=10)</t>
  </si>
  <si>
    <t>El sistema no cumple con la normativa de proteccion de datos...</t>
  </si>
  <si>
    <t>R-12 (P=4, I=3, NR=12)</t>
  </si>
  <si>
    <t>Falta de comunicacion entre el equipo de desarrollo y el equ...</t>
  </si>
  <si>
    <t>R-13 (P=2, I=3, NR=6)</t>
  </si>
  <si>
    <t>La tecnologia elegida (framework) queda obsoleta o sin sopor...</t>
  </si>
  <si>
    <t>R-14 (P=3, I=4, NR=12)</t>
  </si>
  <si>
    <t>Una nueva API de integracion del proveedor permite reducir e...</t>
  </si>
  <si>
    <t>R-15 (P=4, I=3, NR=12)</t>
  </si>
  <si>
    <t>El equipo de desarrollo adquiere experiencia en la nueva pla...</t>
  </si>
  <si>
    <t>PLAN DE RESPUESTA A RIESGOS — SistemaVentas 360</t>
  </si>
  <si>
    <t>Para cada riesgo se define: acciones preventivas (antes de que ocurra) y correctivas (si ya ocurrio), propietario y fecha limite.</t>
  </si>
  <si>
    <t>Accion Preventiva (Antes que ocurra)</t>
  </si>
  <si>
    <t>Accion Correctiva / Contingencia (Si ocurre)</t>
  </si>
  <si>
    <t>Presupuesto Estimado</t>
  </si>
  <si>
    <t>Realizar un analisis de compatibilidad tecnica completo en las primeras 2 semanas. Desarrollar capa de integracion (middleware) como buffer entre sistemas.</t>
  </si>
  <si>
    <t>Activar plan de desarrollo de adaptadores de integracion. Asignar 2 desarrolladores adicionales. Informar al sponsor sobre el retraso estimado.</t>
  </si>
  <si>
    <t>Semana 2</t>
  </si>
  <si>
    <t>$3.500.000</t>
  </si>
  <si>
    <t>% de pruebas de integracion exitosas &lt; 80% en semana 3</t>
  </si>
  <si>
    <t>Incluir penalidades por incumplimiento en el contrato con el proveedor. Identificar proveedor alternativo como respaldo.</t>
  </si>
  <si>
    <t>Activar al proveedor de respaldo. Escalar al area legal para aplicar penalidades contractuales. Ajustar cronograma.</t>
  </si>
  <si>
    <t>Semana 1</t>
  </si>
  <si>
    <t>$500.000</t>
  </si>
  <si>
    <t>Hito de entrega del API con retraso &gt; 3 dias habiles</t>
  </si>
  <si>
    <t>Contratar servicio de pentest antes del go-live. Implementar OWASP Top 10 como checklist obligatorio de desarrollo. Cifrar todos los datos sensibles.</t>
  </si>
  <si>
    <t>Aislar el modulo afectado. Notificar a usuarios segun normativa. Activar equipo de respuesta a incidentes. Contratar auditoria externa.</t>
  </si>
  <si>
    <t>$4.200.000</t>
  </si>
  <si>
    <t>Hallazgo de vulnerabilidad critica en revision de codigo o pentest</t>
  </si>
  <si>
    <t>Implementar proceso formal de Control de Cambios con formulario de solicitud. Congelar requerimientos al inicio de cada sprint.</t>
  </si>
  <si>
    <t>Evaluar impacto del cambio en cronograma y costo. Presentar al sponsor para aprobacion formal. Renegociar alcance si es necesario.</t>
  </si>
  <si>
    <t>$200.000</t>
  </si>
  <si>
    <t>Mas de 2 solicitudes de cambio de alcance en una semana</t>
  </si>
  <si>
    <t>Documentar el conocimiento de roles clave (knowledge transfer). Establecer bono de retencion para los 3 desarrolladores criticos.</t>
  </si>
  <si>
    <t>Activar proceso de busqueda urgente. Asignar mentor interno. Evaluar contratar consultora para cubrir el rol temporalmente.</t>
  </si>
  <si>
    <t>$6.000.000</t>
  </si>
  <si>
    <t>Recepcion de carta de renuncia de cualquier recurso en ruta critica</t>
  </si>
  <si>
    <t>Definir plan de pruebas formal (unit, integration, UAT) con criterios de aceptacion claros. Requiere 2 semanas de UAT con usuarios reales.</t>
  </si>
  <si>
    <t>Revertir al sistema anterior (rollback). Comunicar a usuarios. Corregir bugs criticos en modo emergencia. Nuevo go-live tras validacion.</t>
  </si>
  <si>
    <t>2 semanas antes del go-live</t>
  </si>
  <si>
    <t>$1.800.000</t>
  </si>
  <si>
    <t>Tasa de defectos criticos &gt; 0 en UAT a 5 dias del go-live</t>
  </si>
  <si>
    <t>Realizar pruebas de carga (load testing) con 150% de la carga esperada. Configurar auto-scaling en la nube.</t>
  </si>
  <si>
    <t>Escalar recursos del servidor de inmediato. Activar CDN y cache. Habilitar modo de mantenimiento si la caida supera el 30% de usuarios.</t>
  </si>
  <si>
    <t>1 semana antes del go-live</t>
  </si>
  <si>
    <t>$2.500.000</t>
  </si>
  <si>
    <t>Tiempo de respuesta del servidor &gt; 3 segundos en prueba de carga</t>
  </si>
  <si>
    <t>Incluir reserva de contingencia del 15% en el presupuesto. Revisar costos quincenalmente con el sponsor.</t>
  </si>
  <si>
    <t>Revisar alcance para reducir entregables. Renegociar contratos. Presentar opciones al sponsor: mas presupuesto o menos alcance.</t>
  </si>
  <si>
    <t>Sin costo adicional</t>
  </si>
  <si>
    <t>Gasto acumulado supera el 90% del presupuesto a mitad del proyecto</t>
  </si>
  <si>
    <t>Levantar inventario completo de datos origen. Crear scripts de validacion de calidad antes de migrar. Migracion en ambiente de prueba primero.</t>
  </si>
  <si>
    <t>Detener la migracion. Revisar y limpiar datos origen. Volver a ejecutar migracion con datos corregidos. Validar con usuarios.</t>
  </si>
  <si>
    <t>$1.200.000</t>
  </si>
  <si>
    <t>Tasa de inconsistencia de datos en ambiente de prueba &gt; 1%</t>
  </si>
  <si>
    <t>Iniciar plan de capacitacion 4 semanas antes del go-live. Designar champions de cambio en cada area.</t>
  </si>
  <si>
    <t>Extender el periodo de capacitacion. Activar soporte presencial post go-live por 2 semanas. Crear material de ayuda rapida.</t>
  </si>
  <si>
    <t>4 semanas antes del go-live</t>
  </si>
  <si>
    <t>$2.800.000</t>
  </si>
  <si>
    <t>Asistencia a capacitaciones &lt; 70% o encuesta de adopcion &lt; 60%</t>
  </si>
  <si>
    <t>Contratar revision juridica del diseno del sistema en la fase de analisis. Implementar modulo de consentimiento de datos.</t>
  </si>
  <si>
    <t>Suspender el modulo no conforme. Contratar consultoria legal urgente. Ajustar el sistema. Notificar a la autoridad regulatoria.</t>
  </si>
  <si>
    <t>Fase de Diseno</t>
  </si>
  <si>
    <t>$3.000.000</t>
  </si>
  <si>
    <t>Hallazgo de incumplimiento en auditoria interna de compliance</t>
  </si>
  <si>
    <t>Crear plan de comunicaciones con reuniones semanales de sincronizacion. Usar herramienta colaborativa (Jira, Confluence).</t>
  </si>
  <si>
    <t>Convocar reunion de alineacion de urgencia. Documentar los acuerdos. Asignar un liaison entre TI y negocio.</t>
  </si>
  <si>
    <t>$0 (proceso interno)</t>
  </si>
  <si>
    <t>Mas de 3 malentendidos documentados en un sprint</t>
  </si>
  <si>
    <t>Monitorear el roadmap del proveedor de la tecnologia. Evaluar alternativas tecnologicas compatibles cada 6 meses.</t>
  </si>
  <si>
    <t>Iniciar proceso de evaluacion de nueva tecnologia. Planificar migracion en siguiente fase del proyecto.</t>
  </si>
  <si>
    <t>Revision semestral</t>
  </si>
  <si>
    <t>Anuncio de fin de soporte o nueva version mayor del framework</t>
  </si>
  <si>
    <t>OPO.</t>
  </si>
  <si>
    <t>Asignar al desarrollador mas capacitado en la nueva API para maximizar el beneficio. Integrar el nuevo SDK en el proximo sprint.</t>
  </si>
  <si>
    <t>No aplica (oportunidad). Si el SDK no esta disponible, volver al plan original sin impacto negativo.</t>
  </si>
  <si>
    <t>Sprint actual</t>
  </si>
  <si>
    <t>$0 (sin costo)</t>
  </si>
  <si>
    <t>Retraso en la publicacion del nuevo SDK del proveedor</t>
  </si>
  <si>
    <t>Reconocer y documentar el aumento de velocidad del equipo. Actualizar el plan de sprints para capitalizar el incremento.</t>
  </si>
  <si>
    <t>No aplica (oportunidad). Mantener el plan original si la mejora no se materializa.</t>
  </si>
  <si>
    <t>Velocidad del equipo no aumenta en Sprint 3 respecto a Sprint 1</t>
  </si>
  <si>
    <t>DASHBOARD DE CONTROL DE RIESGOS — SistemaVentas 360</t>
  </si>
  <si>
    <t>Semana de Reporte: [Completar]  |  Elaborado por: [PM]  |  Proxima revision: [Fecha]</t>
  </si>
  <si>
    <t>RESUMEN EJECUTIVO DEL PLAN</t>
  </si>
  <si>
    <t>Total Riesgos</t>
  </si>
  <si>
    <t>Criticos</t>
  </si>
  <si>
    <t>Altos</t>
  </si>
  <si>
    <t>Medios</t>
  </si>
  <si>
    <t>Bajos</t>
  </si>
  <si>
    <t>Oportunidades</t>
  </si>
  <si>
    <t>Amenazas</t>
  </si>
  <si>
    <t>SEMAFORO DE ESTADO DE RIESGOS CRITICOS Y ALTOS</t>
  </si>
  <si>
    <t>Nivel NR</t>
  </si>
  <si>
    <t>Estado Actual</t>
  </si>
  <si>
    <t>Tendencia</t>
  </si>
  <si>
    <t>Ultimo Evento</t>
  </si>
  <si>
    <t>Proxima Accion</t>
  </si>
  <si>
    <t>Semaforo</t>
  </si>
  <si>
    <t>CRITICO (NR=20)</t>
  </si>
  <si>
    <t>Analisis de compatibilidad 60% completo.</t>
  </si>
  <si>
    <t>→ Estable</t>
  </si>
  <si>
    <t>Prueba de integracion con BD legada exitosa al 70%.</t>
  </si>
  <si>
    <t>Completar analisis. Resultado en semana 3.</t>
  </si>
  <si>
    <t>PRECAUCION</t>
  </si>
  <si>
    <t>ALTO (NR=12)</t>
  </si>
  <si>
    <t>Contrato revisado con penalidades incluidas.</t>
  </si>
  <si>
    <t>↑ Mejorando</t>
  </si>
  <si>
    <t>Proveedor confirmo fecha de entrega API.</t>
  </si>
  <si>
    <t>Monitorear hito de entrega del API en 5 dias.</t>
  </si>
  <si>
    <t>BIEN</t>
  </si>
  <si>
    <t>CRITICO (NR=10)</t>
  </si>
  <si>
    <t>Pentest contratado. Inicia en sprint 3.</t>
  </si>
  <si>
    <t>Checklist OWASP implementado en el 80% del codigo.</t>
  </si>
  <si>
    <t>Completar pentest antes del sprint 4.</t>
  </si>
  <si>
    <t>Control de cambios activo desde semana 1.</t>
  </si>
  <si>
    <t>2 solicitudes de cambio rechazadas formalmente.</t>
  </si>
  <si>
    <t>Capacitar al equipo en el proceso de cambio.</t>
  </si>
  <si>
    <t>CRITICO (NR=15)</t>
  </si>
  <si>
    <t>Bono de retencion firmado por 2 de 3 devs.</t>
  </si>
  <si>
    <t>1 desarrollador aun no ha firmado el bono.</t>
  </si>
  <si>
    <t>Negociar con el desarrollador pendiente esta semana.</t>
  </si>
  <si>
    <t>Plan de pruebas aprobado por QA y negocio.</t>
  </si>
  <si>
    <t>UAT planificada para 2 semanas antes del go-live.</t>
  </si>
  <si>
    <t>Preparar ambiente de UAT con datos reales.</t>
  </si>
  <si>
    <t>Load testing programado para semana 8.</t>
  </si>
  <si>
    <t>Auto-scaling configurado en el servidor de nube.</t>
  </si>
  <si>
    <t>Ejecutar primera ronda de load testing.</t>
  </si>
  <si>
    <t>ALTO (NR=16)</t>
  </si>
  <si>
    <t>Scripts de validacion de datos en desarrollo.</t>
  </si>
  <si>
    <t>↓ En riesgo</t>
  </si>
  <si>
    <t>Datos origen tienen 3% de inconsistencias detectadas.</t>
  </si>
  <si>
    <t>URGENTE: Limpiar datos origen antes del sprint 5.</t>
  </si>
  <si>
    <t>ALERTA</t>
  </si>
  <si>
    <t>Revision juridica iniciada con consultora.</t>
  </si>
  <si>
    <t>Identificadas 2 areas de mejora en el diseno.</t>
  </si>
  <si>
    <t>Implementar cambios de compliance en sprint 4.</t>
  </si>
  <si>
    <t>DISTRIBUCION DE RIESGOS POR NIVEL</t>
  </si>
  <si>
    <t>Cantidad</t>
  </si>
  <si>
    <t xml:space="preserve">Evitar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</si>
</sst>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4" x14ac:knownFonts="1">
    <font>
      <sz val="11"/>
      <color theme="1"/>
      <name val="Calibri"/>
      <family val="2"/>
      <scheme val="minor"/>
    </font>
    <font>
      <b/>
      <sz val="22"/>
      <color rgb="FFFFFFFF"/>
      <name val="Arial"/>
      <family val="2"/>
    </font>
    <font>
      <b/>
      <sz val="13"/>
      <color rgb="FFFFFFFF"/>
      <name val="Arial"/>
      <family val="2"/>
    </font>
    <font>
      <i/>
      <sz val="10"/>
      <color rgb="FF1A3A5C"/>
      <name val="Arial"/>
      <family val="2"/>
    </font>
    <font>
      <b/>
      <sz val="10"/>
      <color rgb="FFFFFFFF"/>
      <name val="Arial"/>
      <family val="2"/>
    </font>
    <font>
      <sz val="10"/>
      <color rgb="FF2C3E50"/>
      <name val="Arial"/>
      <family val="2"/>
    </font>
    <font>
      <b/>
      <sz val="11"/>
      <color rgb="FFFFFFFF"/>
      <name val="Arial"/>
      <family val="2"/>
    </font>
    <font>
      <b/>
      <sz val="10"/>
      <color rgb="FF1A3A5C"/>
      <name val="Arial"/>
      <family val="2"/>
    </font>
    <font>
      <i/>
      <sz val="9"/>
      <color rgb="FF2C3E50"/>
      <name val="Arial"/>
      <family val="2"/>
    </font>
    <font>
      <b/>
      <sz val="10"/>
      <color rgb="FF1A4731"/>
      <name val="Arial"/>
      <family val="2"/>
    </font>
    <font>
      <b/>
      <sz val="10"/>
      <color rgb="FF7D4E00"/>
      <name val="Arial"/>
      <family val="2"/>
    </font>
    <font>
      <b/>
      <sz val="10"/>
      <color rgb="FF2C3E50"/>
      <name val="Arial"/>
      <family val="2"/>
    </font>
    <font>
      <i/>
      <sz val="9"/>
      <color rgb="FF7D4E00"/>
      <name val="Arial"/>
      <family val="2"/>
    </font>
    <font>
      <b/>
      <sz val="16"/>
      <color rgb="FFFFFFFF"/>
      <name val="Arial"/>
      <family val="2"/>
    </font>
    <font>
      <i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2C3E50"/>
      <name val="Arial"/>
      <family val="2"/>
    </font>
    <font>
      <i/>
      <sz val="9"/>
      <color rgb="FF1A3A5C"/>
      <name val="Arial"/>
      <family val="2"/>
    </font>
    <font>
      <b/>
      <sz val="9"/>
      <color rgb="FF1A4731"/>
      <name val="Arial"/>
      <family val="2"/>
    </font>
    <font>
      <b/>
      <sz val="11"/>
      <color rgb="FF1A4731"/>
      <name val="Arial"/>
      <family val="2"/>
    </font>
    <font>
      <b/>
      <sz val="9"/>
      <color rgb="FF1A3A5C"/>
      <name val="Arial"/>
      <family val="2"/>
    </font>
    <font>
      <b/>
      <sz val="11"/>
      <color rgb="FF1A3A5C"/>
      <name val="Arial"/>
      <family val="2"/>
    </font>
    <font>
      <b/>
      <sz val="9"/>
      <color rgb="FF7D4E00"/>
      <name val="Arial"/>
      <family val="2"/>
    </font>
    <font>
      <b/>
      <sz val="11"/>
      <color rgb="FF7D4E00"/>
      <name val="Arial"/>
      <family val="2"/>
    </font>
    <font>
      <b/>
      <sz val="9"/>
      <color rgb="FFE74C3C"/>
      <name val="Arial"/>
      <family val="2"/>
    </font>
    <font>
      <b/>
      <sz val="11"/>
      <color rgb="FFE74C3C"/>
      <name val="Arial"/>
      <family val="2"/>
    </font>
    <font>
      <b/>
      <sz val="9"/>
      <color rgb="FF7B0000"/>
      <name val="Arial"/>
      <family val="2"/>
    </font>
    <font>
      <b/>
      <sz val="11"/>
      <color rgb="FF7B0000"/>
      <name val="Arial"/>
      <family val="2"/>
    </font>
    <font>
      <b/>
      <sz val="10"/>
      <color rgb="FFE74C3C"/>
      <name val="Arial"/>
      <family val="2"/>
    </font>
    <font>
      <b/>
      <sz val="10"/>
      <color rgb="FF7B0000"/>
      <name val="Arial"/>
      <family val="2"/>
    </font>
    <font>
      <b/>
      <sz val="9"/>
      <color rgb="FF2C3E50"/>
      <name val="Arial"/>
      <family val="2"/>
    </font>
    <font>
      <b/>
      <sz val="14"/>
      <color rgb="FFFFFFFF"/>
      <name val="Arial"/>
      <family val="2"/>
    </font>
    <font>
      <b/>
      <sz val="8"/>
      <color rgb="FF7B0000"/>
      <name val="Arial"/>
      <family val="2"/>
    </font>
    <font>
      <sz val="9"/>
      <color rgb="FF7D4E00"/>
      <name val="Arial"/>
      <family val="2"/>
    </font>
    <font>
      <sz val="9"/>
      <color rgb="FFE74C3C"/>
      <name val="Arial"/>
      <family val="2"/>
    </font>
    <font>
      <sz val="9"/>
      <color rgb="FF7B0000"/>
      <name val="Arial"/>
      <family val="2"/>
    </font>
    <font>
      <b/>
      <sz val="9"/>
      <color rgb="FF0D2137"/>
      <name val="Arial"/>
      <family val="2"/>
    </font>
    <font>
      <b/>
      <sz val="8"/>
      <color rgb="FFE74C3C"/>
      <name val="Arial"/>
      <family val="2"/>
    </font>
    <font>
      <sz val="9"/>
      <color rgb="FF1A4731"/>
      <name val="Arial"/>
      <family val="2"/>
    </font>
    <font>
      <b/>
      <sz val="8"/>
      <color rgb="FF7D4E00"/>
      <name val="Arial"/>
      <family val="2"/>
    </font>
    <font>
      <b/>
      <sz val="8"/>
      <color rgb="FF1A3A5C"/>
      <name val="Arial"/>
      <family val="2"/>
    </font>
    <font>
      <b/>
      <sz val="8"/>
      <color rgb="FF1A4731"/>
      <name val="Arial"/>
      <family val="2"/>
    </font>
    <font>
      <sz val="8"/>
      <color rgb="FF2C3E50"/>
      <name val="Arial"/>
      <family val="2"/>
    </font>
    <font>
      <i/>
      <sz val="9"/>
      <color rgb="FFFFFFFF"/>
      <name val="Arial"/>
      <family val="2"/>
    </font>
    <font>
      <i/>
      <sz val="8"/>
      <color rgb="FF7B0000"/>
      <name val="Arial"/>
      <family val="2"/>
    </font>
    <font>
      <b/>
      <sz val="22"/>
      <color rgb="FF1A3A5C"/>
      <name val="Arial"/>
      <family val="2"/>
    </font>
    <font>
      <b/>
      <sz val="22"/>
      <color rgb="FF7B0000"/>
      <name val="Arial"/>
      <family val="2"/>
    </font>
    <font>
      <b/>
      <sz val="22"/>
      <color rgb="FFE74C3C"/>
      <name val="Arial"/>
      <family val="2"/>
    </font>
    <font>
      <b/>
      <sz val="22"/>
      <color rgb="FF7D4E00"/>
      <name val="Arial"/>
      <family val="2"/>
    </font>
    <font>
      <b/>
      <sz val="22"/>
      <color rgb="FF1A4731"/>
      <name val="Arial"/>
      <family val="2"/>
    </font>
    <font>
      <i/>
      <sz val="8"/>
      <color rgb="FF2C3E50"/>
      <name val="Arial"/>
      <family val="2"/>
    </font>
    <font>
      <sz val="8"/>
      <color rgb="FF7D4E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ECF0F1"/>
      </patternFill>
    </fill>
    <fill>
      <patternFill patternType="solid">
        <fgColor rgb="FF0D2137"/>
      </patternFill>
    </fill>
    <fill>
      <patternFill patternType="solid">
        <fgColor rgb="FF2E6DA4"/>
      </patternFill>
    </fill>
    <fill>
      <patternFill patternType="solid">
        <fgColor rgb="FFD6E4F0"/>
      </patternFill>
    </fill>
    <fill>
      <patternFill patternType="solid">
        <fgColor rgb="FF1A3A5C"/>
      </patternFill>
    </fill>
    <fill>
      <patternFill patternType="solid">
        <fgColor rgb="FFFFFFFF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EBF3FB"/>
      </patternFill>
    </fill>
    <fill>
      <patternFill patternType="solid">
        <fgColor rgb="FFFDECEA"/>
      </patternFill>
    </fill>
    <fill>
      <patternFill patternType="solid">
        <fgColor rgb="FF1A4731"/>
      </patternFill>
    </fill>
  </fills>
  <borders count="8">
    <border>
      <left/>
      <right/>
      <top/>
      <bottom/>
      <diagonal/>
    </border>
    <border>
      <left style="medium">
        <color rgb="FF1A3A5C"/>
      </left>
      <right style="medium">
        <color rgb="FF1A3A5C"/>
      </right>
      <top style="medium">
        <color rgb="FF1A3A5C"/>
      </top>
      <bottom style="medium">
        <color rgb="FF1A3A5C"/>
      </bottom>
      <diagonal/>
    </border>
    <border>
      <left style="thin">
        <color rgb="FFECF0F1"/>
      </left>
      <right style="thin">
        <color rgb="FFECF0F1"/>
      </right>
      <top style="thin">
        <color rgb="FFECF0F1"/>
      </top>
      <bottom style="thin">
        <color rgb="FFECF0F1"/>
      </bottom>
      <diagonal/>
    </border>
    <border>
      <left style="medium">
        <color rgb="FF7D4E00"/>
      </left>
      <right style="thin">
        <color rgb="FFECF0F1"/>
      </right>
      <top style="thin">
        <color rgb="FFECF0F1"/>
      </top>
      <bottom style="thin">
        <color rgb="FFECF0F1"/>
      </bottom>
      <diagonal/>
    </border>
    <border>
      <left/>
      <right/>
      <top style="thin">
        <color rgb="FFECF0F1"/>
      </top>
      <bottom style="thin">
        <color rgb="FFECF0F1"/>
      </bottom>
      <diagonal/>
    </border>
    <border>
      <left/>
      <right style="thin">
        <color rgb="FFECF0F1"/>
      </right>
      <top style="thin">
        <color rgb="FFECF0F1"/>
      </top>
      <bottom style="thin">
        <color rgb="FFECF0F1"/>
      </bottom>
      <diagonal/>
    </border>
    <border>
      <left/>
      <right/>
      <top style="medium">
        <color rgb="FF1A3A5C"/>
      </top>
      <bottom style="medium">
        <color rgb="FF1A3A5C"/>
      </bottom>
      <diagonal/>
    </border>
    <border>
      <left/>
      <right style="medium">
        <color rgb="FF1A3A5C"/>
      </right>
      <top style="medium">
        <color rgb="FF1A3A5C"/>
      </top>
      <bottom style="medium">
        <color rgb="FF1A3A5C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0" xfId="0" applyFill="1"/>
    <xf numFmtId="0" fontId="4" fillId="6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0" fillId="7" borderId="2" xfId="0" applyFill="1" applyBorder="1"/>
    <xf numFmtId="0" fontId="7" fillId="5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left" vertical="center" wrapText="1"/>
    </xf>
    <xf numFmtId="0" fontId="17" fillId="10" borderId="2" xfId="0" applyFont="1" applyFill="1" applyBorder="1" applyAlignment="1">
      <alignment horizontal="left" vertical="center" wrapText="1"/>
    </xf>
    <xf numFmtId="0" fontId="16" fillId="7" borderId="2" xfId="0" applyFont="1" applyFill="1" applyBorder="1" applyAlignment="1">
      <alignment horizontal="left" vertical="center" wrapText="1"/>
    </xf>
    <xf numFmtId="0" fontId="17" fillId="7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21" fillId="10" borderId="2" xfId="0" applyFont="1" applyFill="1" applyBorder="1" applyAlignment="1">
      <alignment horizontal="center" vertical="center" wrapText="1"/>
    </xf>
    <xf numFmtId="0" fontId="22" fillId="9" borderId="2" xfId="0" applyFont="1" applyFill="1" applyBorder="1" applyAlignment="1">
      <alignment horizontal="center" vertical="center" wrapText="1"/>
    </xf>
    <xf numFmtId="0" fontId="23" fillId="9" borderId="2" xfId="0" applyFont="1" applyFill="1" applyBorder="1" applyAlignment="1">
      <alignment horizontal="center" vertical="center" wrapText="1"/>
    </xf>
    <xf numFmtId="0" fontId="24" fillId="11" borderId="2" xfId="0" applyFont="1" applyFill="1" applyBorder="1" applyAlignment="1">
      <alignment horizontal="center" vertical="center" wrapText="1"/>
    </xf>
    <xf numFmtId="0" fontId="25" fillId="11" borderId="2" xfId="0" applyFont="1" applyFill="1" applyBorder="1" applyAlignment="1">
      <alignment horizontal="center" vertical="center" wrapText="1"/>
    </xf>
    <xf numFmtId="0" fontId="26" fillId="11" borderId="2" xfId="0" applyFont="1" applyFill="1" applyBorder="1" applyAlignment="1">
      <alignment horizontal="center" vertical="center" wrapText="1"/>
    </xf>
    <xf numFmtId="0" fontId="27" fillId="11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28" fillId="11" borderId="2" xfId="0" applyFont="1" applyFill="1" applyBorder="1" applyAlignment="1">
      <alignment horizontal="center" vertical="center" wrapText="1"/>
    </xf>
    <xf numFmtId="0" fontId="29" fillId="11" borderId="2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20" fillId="7" borderId="2" xfId="0" applyFont="1" applyFill="1" applyBorder="1" applyAlignment="1">
      <alignment horizontal="left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left" vertical="center" wrapText="1"/>
    </xf>
    <xf numFmtId="0" fontId="16" fillId="8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20" fillId="8" borderId="2" xfId="0" applyFont="1" applyFill="1" applyBorder="1" applyAlignment="1">
      <alignment horizontal="center" vertical="center" wrapText="1"/>
    </xf>
    <xf numFmtId="164" fontId="20" fillId="5" borderId="2" xfId="0" applyNumberFormat="1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horizontal="center" vertical="center" wrapText="1"/>
    </xf>
    <xf numFmtId="0" fontId="33" fillId="9" borderId="2" xfId="0" applyFont="1" applyFill="1" applyBorder="1" applyAlignment="1">
      <alignment horizontal="center" vertical="center" wrapText="1"/>
    </xf>
    <xf numFmtId="0" fontId="34" fillId="11" borderId="2" xfId="0" applyFont="1" applyFill="1" applyBorder="1" applyAlignment="1">
      <alignment horizontal="center" vertical="center" wrapText="1"/>
    </xf>
    <xf numFmtId="0" fontId="35" fillId="11" borderId="2" xfId="0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0" fontId="42" fillId="10" borderId="2" xfId="0" applyFont="1" applyFill="1" applyBorder="1" applyAlignment="1">
      <alignment horizontal="left" vertical="center" wrapText="1"/>
    </xf>
    <xf numFmtId="0" fontId="37" fillId="11" borderId="2" xfId="0" applyFont="1" applyFill="1" applyBorder="1" applyAlignment="1">
      <alignment horizontal="center" vertical="center" wrapText="1"/>
    </xf>
    <xf numFmtId="0" fontId="38" fillId="8" borderId="2" xfId="0" applyFont="1" applyFill="1" applyBorder="1" applyAlignment="1">
      <alignment horizontal="center" vertical="center" wrapText="1"/>
    </xf>
    <xf numFmtId="0" fontId="42" fillId="7" borderId="2" xfId="0" applyFont="1" applyFill="1" applyBorder="1" applyAlignment="1">
      <alignment horizontal="left" vertical="center" wrapText="1"/>
    </xf>
    <xf numFmtId="0" fontId="39" fillId="9" borderId="2" xfId="0" applyFont="1" applyFill="1" applyBorder="1" applyAlignment="1">
      <alignment horizontal="center" vertical="center" wrapText="1"/>
    </xf>
    <xf numFmtId="0" fontId="40" fillId="10" borderId="2" xfId="0" applyFont="1" applyFill="1" applyBorder="1" applyAlignment="1">
      <alignment horizontal="center" vertical="center" wrapText="1"/>
    </xf>
    <xf numFmtId="0" fontId="36" fillId="9" borderId="1" xfId="0" applyFont="1" applyFill="1" applyBorder="1" applyAlignment="1">
      <alignment horizontal="center" vertical="center" wrapText="1"/>
    </xf>
    <xf numFmtId="0" fontId="41" fillId="8" borderId="2" xfId="0" applyFont="1" applyFill="1" applyBorder="1" applyAlignment="1">
      <alignment horizontal="center" vertical="center" wrapText="1"/>
    </xf>
    <xf numFmtId="0" fontId="18" fillId="10" borderId="2" xfId="0" applyFont="1" applyFill="1" applyBorder="1" applyAlignment="1">
      <alignment horizontal="left" vertical="center" wrapText="1"/>
    </xf>
    <xf numFmtId="0" fontId="44" fillId="11" borderId="2" xfId="0" applyFont="1" applyFill="1" applyBorder="1" applyAlignment="1">
      <alignment horizontal="left" vertical="center" wrapText="1"/>
    </xf>
    <xf numFmtId="0" fontId="18" fillId="7" borderId="2" xfId="0" applyFont="1" applyFill="1" applyBorder="1" applyAlignment="1">
      <alignment horizontal="left" vertical="center" wrapText="1"/>
    </xf>
    <xf numFmtId="0" fontId="45" fillId="10" borderId="2" xfId="0" applyFont="1" applyFill="1" applyBorder="1" applyAlignment="1">
      <alignment horizontal="center" vertical="center" wrapText="1"/>
    </xf>
    <xf numFmtId="0" fontId="46" fillId="11" borderId="2" xfId="0" applyFont="1" applyFill="1" applyBorder="1" applyAlignment="1">
      <alignment horizontal="center" vertical="center" wrapText="1"/>
    </xf>
    <xf numFmtId="0" fontId="47" fillId="11" borderId="2" xfId="0" applyFont="1" applyFill="1" applyBorder="1" applyAlignment="1">
      <alignment horizontal="center" vertical="center" wrapText="1"/>
    </xf>
    <xf numFmtId="0" fontId="48" fillId="9" borderId="2" xfId="0" applyFont="1" applyFill="1" applyBorder="1" applyAlignment="1">
      <alignment horizontal="center" vertical="center" wrapText="1"/>
    </xf>
    <xf numFmtId="0" fontId="49" fillId="8" borderId="2" xfId="0" applyFont="1" applyFill="1" applyBorder="1" applyAlignment="1">
      <alignment horizontal="center" vertical="center" wrapText="1"/>
    </xf>
    <xf numFmtId="0" fontId="22" fillId="10" borderId="2" xfId="0" applyFont="1" applyFill="1" applyBorder="1" applyAlignment="1">
      <alignment horizontal="center" vertical="center" wrapText="1"/>
    </xf>
    <xf numFmtId="0" fontId="50" fillId="10" borderId="2" xfId="0" applyFont="1" applyFill="1" applyBorder="1" applyAlignment="1">
      <alignment horizontal="left" vertical="center" wrapText="1"/>
    </xf>
    <xf numFmtId="0" fontId="51" fillId="9" borderId="2" xfId="0" applyFont="1" applyFill="1" applyBorder="1" applyAlignment="1">
      <alignment horizontal="left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50" fillId="7" borderId="2" xfId="0" applyFont="1" applyFill="1" applyBorder="1" applyAlignment="1">
      <alignment horizontal="left" vertical="center" wrapText="1"/>
    </xf>
    <xf numFmtId="0" fontId="26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left" vertical="center" wrapText="1"/>
    </xf>
    <xf numFmtId="0" fontId="33" fillId="9" borderId="2" xfId="0" applyFont="1" applyFill="1" applyBorder="1" applyAlignment="1">
      <alignment horizontal="left" vertical="center" wrapText="1"/>
    </xf>
    <xf numFmtId="0" fontId="35" fillId="11" borderId="2" xfId="0" applyFont="1" applyFill="1" applyBorder="1" applyAlignment="1">
      <alignment horizontal="left" vertical="center" wrapText="1"/>
    </xf>
    <xf numFmtId="0" fontId="15" fillId="12" borderId="2" xfId="0" applyFont="1" applyFill="1" applyBorder="1" applyAlignment="1">
      <alignment horizontal="center" vertical="center" wrapText="1"/>
    </xf>
    <xf numFmtId="3" fontId="16" fillId="10" borderId="2" xfId="0" applyNumberFormat="1" applyFont="1" applyFill="1" applyBorder="1" applyAlignment="1">
      <alignment horizontal="left" vertical="center" wrapText="1"/>
    </xf>
    <xf numFmtId="3" fontId="16" fillId="7" borderId="2" xfId="0" applyNumberFormat="1" applyFont="1" applyFill="1" applyBorder="1" applyAlignment="1">
      <alignment horizontal="left" vertical="center" wrapText="1"/>
    </xf>
    <xf numFmtId="0" fontId="53" fillId="7" borderId="2" xfId="0" applyFont="1" applyFill="1" applyBorder="1" applyAlignment="1">
      <alignment horizontal="left" vertical="center" wrapText="1"/>
    </xf>
    <xf numFmtId="0" fontId="53" fillId="6" borderId="2" xfId="0" applyFont="1" applyFill="1" applyBorder="1" applyAlignment="1">
      <alignment horizontal="center" vertical="center" wrapText="1"/>
    </xf>
    <xf numFmtId="0" fontId="53" fillId="10" borderId="2" xfId="0" applyFont="1" applyFill="1" applyBorder="1" applyAlignment="1">
      <alignment horizontal="left" vertical="center" wrapText="1"/>
    </xf>
    <xf numFmtId="0" fontId="53" fillId="10" borderId="2" xfId="0" applyFont="1" applyFill="1" applyBorder="1" applyAlignment="1">
      <alignment horizontal="center" vertical="center" wrapText="1"/>
    </xf>
    <xf numFmtId="0" fontId="53" fillId="11" borderId="2" xfId="0" applyFont="1" applyFill="1" applyBorder="1" applyAlignment="1">
      <alignment horizontal="center" vertical="center" wrapText="1"/>
    </xf>
    <xf numFmtId="0" fontId="53" fillId="7" borderId="2" xfId="0" applyFont="1" applyFill="1" applyBorder="1" applyAlignment="1">
      <alignment horizontal="center" vertical="center" wrapText="1"/>
    </xf>
    <xf numFmtId="0" fontId="52" fillId="8" borderId="2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53" fillId="7" borderId="2" xfId="0" applyFont="1" applyFill="1" applyBorder="1" applyAlignment="1">
      <alignment horizontal="left" vertical="center" wrapText="1"/>
    </xf>
    <xf numFmtId="0" fontId="15" fillId="12" borderId="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52" fillId="7" borderId="2" xfId="0" applyFont="1" applyFill="1" applyBorder="1" applyAlignment="1">
      <alignment horizontal="left" vertical="center" wrapText="1"/>
    </xf>
    <xf numFmtId="0" fontId="12" fillId="9" borderId="3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right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L"/>
              <a:t>Riesgos por Nivel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CONTROL'!$C$23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7B0000"/>
            </a:solidFill>
            <a:ln>
              <a:prstDash val="solid"/>
            </a:ln>
          </c:spPr>
          <c:invertIfNegative val="1"/>
          <c:cat>
            <c:strRef>
              <c:f>'DASHBOARD CONTROL'!$B$24:$B$27</c:f>
              <c:strCache>
                <c:ptCount val="4"/>
                <c:pt idx="0">
                  <c:v>CRITICO</c:v>
                </c:pt>
                <c:pt idx="1">
                  <c:v>ALTO</c:v>
                </c:pt>
                <c:pt idx="2">
                  <c:v>MEDIO</c:v>
                </c:pt>
                <c:pt idx="3">
                  <c:v>BAJO</c:v>
                </c:pt>
              </c:strCache>
            </c:strRef>
          </c:cat>
          <c:val>
            <c:numRef>
              <c:f>'DASHBOARD CONTROL'!$C$24:$C$27</c:f>
              <c:numCache>
                <c:formatCode>General</c:formatCode>
                <c:ptCount val="4"/>
                <c:pt idx="0">
                  <c:v>6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BE-4CDC-9E49-656140563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Cantidad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22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showGridLines="0" topLeftCell="A3" workbookViewId="0"/>
  </sheetViews>
  <sheetFormatPr baseColWidth="10" defaultColWidth="8.88671875" defaultRowHeight="14.4" x14ac:dyDescent="0.3"/>
  <cols>
    <col min="1" max="1" width="3" customWidth="1"/>
    <col min="2" max="2" width="22" customWidth="1"/>
    <col min="3" max="4" width="24" customWidth="1"/>
    <col min="5" max="6" width="20" customWidth="1"/>
    <col min="7" max="7" width="3" customWidth="1"/>
  </cols>
  <sheetData>
    <row r="1" spans="1:13" ht="12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46.05" customHeight="1" x14ac:dyDescent="0.3">
      <c r="A2" s="1"/>
      <c r="B2" s="97" t="s">
        <v>150</v>
      </c>
      <c r="C2" s="90"/>
      <c r="D2" s="90"/>
      <c r="E2" s="90"/>
      <c r="F2" s="91"/>
      <c r="G2" s="1"/>
      <c r="H2" s="1"/>
      <c r="I2" s="1"/>
      <c r="J2" s="1"/>
      <c r="K2" s="1"/>
      <c r="L2" s="1"/>
      <c r="M2" s="1"/>
    </row>
    <row r="3" spans="1:13" ht="34.049999999999997" customHeight="1" x14ac:dyDescent="0.3">
      <c r="A3" s="1"/>
      <c r="B3" s="98" t="s">
        <v>151</v>
      </c>
      <c r="C3" s="90"/>
      <c r="D3" s="90"/>
      <c r="E3" s="90"/>
      <c r="F3" s="91"/>
      <c r="G3" s="1"/>
      <c r="H3" s="1"/>
      <c r="I3" s="1"/>
      <c r="J3" s="1"/>
      <c r="K3" s="1"/>
      <c r="L3" s="1"/>
      <c r="M3" s="1"/>
    </row>
    <row r="4" spans="1:13" ht="25.95" customHeight="1" x14ac:dyDescent="0.3">
      <c r="A4" s="1"/>
      <c r="B4" s="96" t="s">
        <v>152</v>
      </c>
      <c r="C4" s="90"/>
      <c r="D4" s="90"/>
      <c r="E4" s="90"/>
      <c r="F4" s="91"/>
      <c r="G4" s="1"/>
      <c r="H4" s="1"/>
      <c r="I4" s="1"/>
      <c r="J4" s="1"/>
      <c r="K4" s="1"/>
      <c r="L4" s="1"/>
      <c r="M4" s="1"/>
    </row>
    <row r="5" spans="1:13" ht="12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25.95" customHeight="1" x14ac:dyDescent="0.3">
      <c r="A6" s="1"/>
      <c r="B6" s="2" t="s">
        <v>3</v>
      </c>
      <c r="C6" s="3" t="s">
        <v>153</v>
      </c>
      <c r="D6" s="4"/>
      <c r="E6" s="4"/>
      <c r="F6" s="4"/>
      <c r="G6" s="1"/>
      <c r="H6" s="1"/>
      <c r="I6" s="1"/>
      <c r="J6" s="1"/>
      <c r="K6" s="1"/>
      <c r="L6" s="1"/>
      <c r="M6" s="1"/>
    </row>
    <row r="7" spans="1:13" ht="25.95" customHeight="1" x14ac:dyDescent="0.3">
      <c r="A7" s="1"/>
      <c r="B7" s="2" t="s">
        <v>154</v>
      </c>
      <c r="C7" s="3" t="s">
        <v>155</v>
      </c>
      <c r="D7" s="4"/>
      <c r="E7" s="4"/>
      <c r="F7" s="4"/>
      <c r="G7" s="1"/>
      <c r="H7" s="1"/>
      <c r="I7" s="1"/>
      <c r="J7" s="1"/>
      <c r="K7" s="1"/>
      <c r="L7" s="1"/>
      <c r="M7" s="1"/>
    </row>
    <row r="8" spans="1:13" ht="25.95" customHeight="1" x14ac:dyDescent="0.3">
      <c r="A8" s="1"/>
      <c r="B8" s="2" t="s">
        <v>156</v>
      </c>
      <c r="C8" s="3" t="s">
        <v>157</v>
      </c>
      <c r="D8" s="4"/>
      <c r="E8" s="4"/>
      <c r="F8" s="4"/>
      <c r="G8" s="1"/>
      <c r="H8" s="1"/>
      <c r="I8" s="1"/>
      <c r="J8" s="1"/>
      <c r="K8" s="1"/>
      <c r="L8" s="1"/>
      <c r="M8" s="1"/>
    </row>
    <row r="9" spans="1:13" ht="25.95" customHeight="1" x14ac:dyDescent="0.3">
      <c r="A9" s="1"/>
      <c r="B9" s="2" t="s">
        <v>9</v>
      </c>
      <c r="C9" s="3" t="s">
        <v>158</v>
      </c>
      <c r="D9" s="4"/>
      <c r="E9" s="4"/>
      <c r="F9" s="4"/>
      <c r="G9" s="1"/>
      <c r="H9" s="1"/>
      <c r="I9" s="1"/>
      <c r="J9" s="1"/>
      <c r="K9" s="1"/>
      <c r="L9" s="1"/>
      <c r="M9" s="1"/>
    </row>
    <row r="10" spans="1:13" ht="25.95" customHeight="1" x14ac:dyDescent="0.3">
      <c r="A10" s="1"/>
      <c r="B10" s="2" t="s">
        <v>159</v>
      </c>
      <c r="C10" s="3" t="s">
        <v>160</v>
      </c>
      <c r="D10" s="4"/>
      <c r="E10" s="4"/>
      <c r="F10" s="4"/>
      <c r="G10" s="1"/>
      <c r="H10" s="1"/>
      <c r="I10" s="1"/>
      <c r="J10" s="1"/>
      <c r="K10" s="1"/>
      <c r="L10" s="1"/>
      <c r="M10" s="1"/>
    </row>
    <row r="11" spans="1:13" ht="25.95" customHeight="1" x14ac:dyDescent="0.3">
      <c r="A11" s="1"/>
      <c r="B11" s="2" t="s">
        <v>161</v>
      </c>
      <c r="C11" s="3" t="s">
        <v>162</v>
      </c>
      <c r="D11" s="4"/>
      <c r="E11" s="4"/>
      <c r="F11" s="4"/>
      <c r="G11" s="1"/>
      <c r="H11" s="1"/>
      <c r="I11" s="1"/>
      <c r="J11" s="1"/>
      <c r="K11" s="1"/>
      <c r="L11" s="1"/>
      <c r="M11" s="1"/>
    </row>
    <row r="12" spans="1:13" ht="25.95" customHeight="1" x14ac:dyDescent="0.3">
      <c r="A12" s="1"/>
      <c r="B12" s="2" t="s">
        <v>163</v>
      </c>
      <c r="C12" s="3" t="s">
        <v>162</v>
      </c>
      <c r="D12" s="4"/>
      <c r="E12" s="4"/>
      <c r="F12" s="4"/>
      <c r="G12" s="1"/>
      <c r="H12" s="1"/>
      <c r="I12" s="1"/>
      <c r="J12" s="1"/>
      <c r="K12" s="1"/>
      <c r="L12" s="1"/>
      <c r="M12" s="1"/>
    </row>
    <row r="13" spans="1:13" ht="25.95" customHeight="1" x14ac:dyDescent="0.3">
      <c r="A13" s="1"/>
      <c r="B13" s="2" t="s">
        <v>164</v>
      </c>
      <c r="C13" s="3" t="s">
        <v>165</v>
      </c>
      <c r="D13" s="4"/>
      <c r="E13" s="4"/>
      <c r="F13" s="4"/>
      <c r="G13" s="1"/>
      <c r="H13" s="1"/>
      <c r="I13" s="1"/>
      <c r="J13" s="1"/>
      <c r="K13" s="1"/>
      <c r="L13" s="1"/>
      <c r="M13" s="1"/>
    </row>
    <row r="14" spans="1:13" ht="12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25.95" customHeight="1" x14ac:dyDescent="0.3">
      <c r="A15" s="1"/>
      <c r="B15" s="89" t="s">
        <v>166</v>
      </c>
      <c r="C15" s="90"/>
      <c r="D15" s="90"/>
      <c r="E15" s="90"/>
      <c r="F15" s="91"/>
      <c r="G15" s="1"/>
      <c r="H15" s="1"/>
      <c r="I15" s="1"/>
      <c r="J15" s="1"/>
      <c r="K15" s="1"/>
      <c r="L15" s="1"/>
      <c r="M15" s="1"/>
    </row>
    <row r="16" spans="1:13" ht="30" customHeight="1" x14ac:dyDescent="0.3">
      <c r="A16" s="1"/>
      <c r="B16" s="5" t="s">
        <v>167</v>
      </c>
      <c r="C16" s="6" t="s">
        <v>168</v>
      </c>
      <c r="D16" s="6"/>
      <c r="E16" s="6"/>
      <c r="F16" s="6"/>
      <c r="G16" s="1"/>
      <c r="H16" s="1"/>
      <c r="I16" s="1"/>
      <c r="J16" s="1"/>
      <c r="K16" s="1"/>
      <c r="L16" s="1"/>
      <c r="M16" s="1"/>
    </row>
    <row r="17" spans="1:13" ht="30" customHeight="1" x14ac:dyDescent="0.3">
      <c r="A17" s="1"/>
      <c r="B17" s="7" t="s">
        <v>169</v>
      </c>
      <c r="C17" s="6" t="s">
        <v>170</v>
      </c>
      <c r="D17" s="6"/>
      <c r="E17" s="6"/>
      <c r="F17" s="6"/>
      <c r="G17" s="1"/>
      <c r="H17" s="1"/>
      <c r="I17" s="1"/>
      <c r="J17" s="1"/>
      <c r="K17" s="1"/>
      <c r="L17" s="1"/>
      <c r="M17" s="1"/>
    </row>
    <row r="18" spans="1:13" ht="30" customHeight="1" x14ac:dyDescent="0.3">
      <c r="A18" s="1"/>
      <c r="B18" s="5" t="s">
        <v>171</v>
      </c>
      <c r="C18" s="6" t="s">
        <v>172</v>
      </c>
      <c r="D18" s="6"/>
      <c r="E18" s="6"/>
      <c r="F18" s="6"/>
      <c r="G18" s="1"/>
      <c r="H18" s="1"/>
      <c r="I18" s="1"/>
      <c r="J18" s="1"/>
      <c r="K18" s="1"/>
      <c r="L18" s="1"/>
      <c r="M18" s="1"/>
    </row>
    <row r="19" spans="1:13" ht="30" customHeight="1" x14ac:dyDescent="0.3">
      <c r="A19" s="1"/>
      <c r="B19" s="8" t="s">
        <v>173</v>
      </c>
      <c r="C19" s="6" t="s">
        <v>174</v>
      </c>
      <c r="D19" s="6"/>
      <c r="E19" s="6"/>
      <c r="F19" s="6"/>
      <c r="G19" s="1"/>
      <c r="H19" s="1"/>
      <c r="I19" s="1"/>
      <c r="J19" s="1"/>
      <c r="K19" s="1"/>
      <c r="L19" s="1"/>
      <c r="M19" s="1"/>
    </row>
    <row r="20" spans="1:13" ht="30" customHeight="1" x14ac:dyDescent="0.3">
      <c r="A20" s="1"/>
      <c r="B20" s="7" t="s">
        <v>175</v>
      </c>
      <c r="C20" s="6" t="s">
        <v>176</v>
      </c>
      <c r="D20" s="6"/>
      <c r="E20" s="6"/>
      <c r="F20" s="6"/>
      <c r="G20" s="1"/>
      <c r="H20" s="1"/>
      <c r="I20" s="1"/>
      <c r="J20" s="1"/>
      <c r="K20" s="1"/>
      <c r="L20" s="1"/>
      <c r="M20" s="1"/>
    </row>
    <row r="21" spans="1:13" ht="30" customHeight="1" x14ac:dyDescent="0.3">
      <c r="A21" s="1"/>
      <c r="B21" s="5" t="s">
        <v>177</v>
      </c>
      <c r="C21" s="6" t="s">
        <v>178</v>
      </c>
      <c r="D21" s="6"/>
      <c r="E21" s="6"/>
      <c r="F21" s="6"/>
      <c r="G21" s="1"/>
      <c r="H21" s="1"/>
      <c r="I21" s="1"/>
      <c r="J21" s="1"/>
      <c r="K21" s="1"/>
      <c r="L21" s="1"/>
      <c r="M21" s="1"/>
    </row>
    <row r="22" spans="1:13" ht="30" customHeight="1" x14ac:dyDescent="0.3">
      <c r="A22" s="1"/>
      <c r="B22" s="9" t="s">
        <v>179</v>
      </c>
      <c r="C22" s="6" t="s">
        <v>180</v>
      </c>
      <c r="D22" s="6"/>
      <c r="E22" s="6"/>
      <c r="F22" s="6"/>
      <c r="G22" s="1"/>
      <c r="H22" s="1"/>
      <c r="I22" s="1"/>
      <c r="J22" s="1"/>
      <c r="K22" s="1"/>
      <c r="L22" s="1"/>
      <c r="M22" s="1"/>
    </row>
    <row r="23" spans="1:13" ht="12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43.95" customHeight="1" x14ac:dyDescent="0.3">
      <c r="A24" s="1"/>
      <c r="B24" s="93" t="s">
        <v>181</v>
      </c>
      <c r="C24" s="85"/>
      <c r="D24" s="85"/>
      <c r="E24" s="85"/>
      <c r="F24" s="86"/>
      <c r="G24" s="1"/>
      <c r="H24" s="1"/>
      <c r="I24" s="1"/>
      <c r="J24" s="1"/>
      <c r="K24" s="1"/>
      <c r="L24" s="1"/>
      <c r="M24" s="1"/>
    </row>
    <row r="25" spans="1:13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</sheetData>
  <mergeCells count="5">
    <mergeCell ref="B4:F4"/>
    <mergeCell ref="B24:F24"/>
    <mergeCell ref="B2:F2"/>
    <mergeCell ref="B15:F15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9"/>
  <sheetViews>
    <sheetView showGridLines="0" topLeftCell="A4" workbookViewId="0"/>
  </sheetViews>
  <sheetFormatPr baseColWidth="10" defaultColWidth="8.88671875" defaultRowHeight="14.4" x14ac:dyDescent="0.3"/>
  <cols>
    <col min="1" max="1" width="3" customWidth="1"/>
    <col min="2" max="2" width="24" customWidth="1"/>
    <col min="3" max="5" width="26" customWidth="1"/>
    <col min="6" max="6" width="3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3" ht="40.049999999999997" customHeight="1" x14ac:dyDescent="0.3">
      <c r="A2" s="1"/>
      <c r="B2" s="95" t="s">
        <v>182</v>
      </c>
      <c r="C2" s="90"/>
      <c r="D2" s="90"/>
      <c r="E2" s="91"/>
      <c r="F2" s="1"/>
      <c r="G2" s="1"/>
      <c r="H2" s="1"/>
      <c r="I2" s="1"/>
      <c r="J2" s="1"/>
      <c r="K2" s="1"/>
      <c r="L2" s="1"/>
    </row>
    <row r="3" spans="1:13" ht="24" customHeight="1" x14ac:dyDescent="0.3">
      <c r="A3" s="1"/>
      <c r="B3" s="99" t="s">
        <v>183</v>
      </c>
      <c r="C3" s="90"/>
      <c r="D3" s="90"/>
      <c r="E3" s="91"/>
      <c r="F3" s="1"/>
      <c r="G3" s="1"/>
      <c r="H3" s="1"/>
      <c r="I3" s="1"/>
      <c r="J3" s="1"/>
      <c r="K3" s="1"/>
      <c r="L3" s="1"/>
    </row>
    <row r="4" spans="1:13" ht="10.05000000000000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5.95" customHeight="1" x14ac:dyDescent="0.3">
      <c r="A5" s="1"/>
      <c r="B5" s="89" t="s">
        <v>184</v>
      </c>
      <c r="C5" s="90"/>
      <c r="D5" s="90"/>
      <c r="E5" s="91"/>
      <c r="F5" s="1"/>
      <c r="G5" s="1"/>
      <c r="H5" s="1"/>
      <c r="I5" s="1"/>
      <c r="J5" s="1"/>
      <c r="K5" s="1"/>
      <c r="L5" s="1"/>
    </row>
    <row r="6" spans="1:13" ht="30" customHeight="1" x14ac:dyDescent="0.3">
      <c r="A6" s="1"/>
      <c r="B6" s="10" t="s">
        <v>185</v>
      </c>
      <c r="C6" s="10" t="s">
        <v>186</v>
      </c>
      <c r="D6" s="10" t="s">
        <v>187</v>
      </c>
      <c r="E6" s="1"/>
      <c r="F6" s="1"/>
      <c r="G6" s="1"/>
      <c r="H6" s="1"/>
      <c r="I6" s="1"/>
      <c r="J6" s="1"/>
      <c r="K6" s="1"/>
      <c r="L6" s="1"/>
    </row>
    <row r="7" spans="1:13" ht="43.95" customHeight="1" x14ac:dyDescent="0.3">
      <c r="A7" s="1"/>
      <c r="B7" s="11" t="s">
        <v>188</v>
      </c>
      <c r="C7" s="12" t="s">
        <v>189</v>
      </c>
      <c r="D7" s="13" t="s">
        <v>190</v>
      </c>
      <c r="E7" s="1"/>
      <c r="F7" s="1"/>
      <c r="G7" s="1"/>
      <c r="H7" s="1"/>
      <c r="I7" s="1"/>
      <c r="J7" s="1"/>
      <c r="K7" s="1"/>
      <c r="L7" s="1"/>
    </row>
    <row r="8" spans="1:13" ht="43.95" customHeight="1" x14ac:dyDescent="0.3">
      <c r="A8" s="1"/>
      <c r="B8" s="11" t="s">
        <v>191</v>
      </c>
      <c r="C8" s="14" t="s">
        <v>192</v>
      </c>
      <c r="D8" s="15" t="s">
        <v>193</v>
      </c>
      <c r="E8" s="1"/>
      <c r="F8" s="1"/>
      <c r="G8" s="1"/>
      <c r="H8" s="1"/>
      <c r="I8" s="1"/>
      <c r="J8" s="1"/>
      <c r="K8" s="1"/>
      <c r="L8" s="1"/>
    </row>
    <row r="9" spans="1:13" ht="43.95" customHeight="1" x14ac:dyDescent="0.3">
      <c r="A9" s="1"/>
      <c r="B9" s="11" t="s">
        <v>194</v>
      </c>
      <c r="C9" s="12" t="s">
        <v>195</v>
      </c>
      <c r="D9" s="13" t="s">
        <v>196</v>
      </c>
      <c r="E9" s="1"/>
      <c r="F9" s="1"/>
      <c r="G9" s="1"/>
      <c r="H9" s="1"/>
      <c r="I9" s="1"/>
      <c r="J9" s="1"/>
      <c r="K9" s="1"/>
      <c r="L9" s="1"/>
    </row>
    <row r="10" spans="1:13" ht="43.95" customHeight="1" x14ac:dyDescent="0.3">
      <c r="A10" s="1"/>
      <c r="B10" s="11" t="s">
        <v>197</v>
      </c>
      <c r="C10" s="14" t="s">
        <v>198</v>
      </c>
      <c r="D10" s="15" t="s">
        <v>199</v>
      </c>
      <c r="E10" s="1"/>
      <c r="F10" s="1"/>
      <c r="G10" s="1"/>
      <c r="H10" s="1"/>
      <c r="I10" s="1"/>
      <c r="J10" s="1"/>
      <c r="K10" s="1"/>
      <c r="L10" s="1"/>
    </row>
    <row r="11" spans="1:13" ht="43.95" customHeight="1" x14ac:dyDescent="0.3">
      <c r="A11" s="1"/>
      <c r="B11" s="11" t="s">
        <v>40</v>
      </c>
      <c r="C11" s="12" t="s">
        <v>200</v>
      </c>
      <c r="D11" s="13" t="s">
        <v>201</v>
      </c>
      <c r="E11" s="1"/>
      <c r="F11" s="1"/>
      <c r="G11" s="1"/>
      <c r="H11" s="1"/>
      <c r="I11" s="1"/>
      <c r="J11" s="1"/>
      <c r="K11" s="1"/>
      <c r="L11" s="1"/>
    </row>
    <row r="12" spans="1:13" ht="43.95" customHeight="1" x14ac:dyDescent="0.3">
      <c r="A12" s="1"/>
      <c r="B12" s="11" t="s">
        <v>202</v>
      </c>
      <c r="C12" s="14" t="s">
        <v>203</v>
      </c>
      <c r="D12" s="15" t="s">
        <v>204</v>
      </c>
      <c r="E12" s="1"/>
      <c r="F12" s="1"/>
      <c r="G12" s="1"/>
      <c r="H12" s="1"/>
      <c r="I12" s="1"/>
      <c r="J12" s="1"/>
      <c r="K12" s="1"/>
      <c r="L12" s="1"/>
    </row>
    <row r="13" spans="1:13" ht="10.050000000000001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25.95" customHeight="1" x14ac:dyDescent="0.3">
      <c r="A14" s="1"/>
      <c r="B14" s="89" t="s">
        <v>205</v>
      </c>
      <c r="C14" s="90"/>
      <c r="D14" s="90"/>
      <c r="E14" s="91"/>
      <c r="F14" s="1"/>
      <c r="G14" s="1"/>
      <c r="H14" s="1"/>
      <c r="I14" s="1"/>
      <c r="J14" s="1"/>
      <c r="K14" s="1"/>
      <c r="L14" s="1"/>
    </row>
    <row r="15" spans="1:13" ht="30" customHeight="1" x14ac:dyDescent="0.3">
      <c r="A15" s="1"/>
      <c r="B15" s="16" t="s">
        <v>29</v>
      </c>
      <c r="C15" s="16" t="s">
        <v>206</v>
      </c>
      <c r="D15" s="16" t="s">
        <v>207</v>
      </c>
      <c r="E15" s="1"/>
      <c r="F15" s="1"/>
      <c r="G15" s="1"/>
      <c r="H15" s="1"/>
      <c r="I15" s="1"/>
      <c r="J15" s="1"/>
      <c r="K15" s="1"/>
      <c r="L15" s="1"/>
    </row>
    <row r="16" spans="1:13" ht="31.95" customHeight="1" x14ac:dyDescent="0.3">
      <c r="A16" s="1"/>
      <c r="B16" s="17" t="s">
        <v>208</v>
      </c>
      <c r="C16" s="18" t="s">
        <v>209</v>
      </c>
      <c r="D16" s="12" t="s">
        <v>210</v>
      </c>
      <c r="E16" s="1"/>
      <c r="F16" s="1"/>
      <c r="G16" s="1"/>
      <c r="H16" s="1"/>
      <c r="I16" s="1"/>
      <c r="J16" s="1"/>
      <c r="K16" s="1"/>
      <c r="L16" s="1"/>
    </row>
    <row r="17" spans="1:13" ht="31.95" customHeight="1" x14ac:dyDescent="0.3">
      <c r="A17" s="1"/>
      <c r="B17" s="19" t="s">
        <v>211</v>
      </c>
      <c r="C17" s="20" t="s">
        <v>212</v>
      </c>
      <c r="D17" s="14" t="s">
        <v>213</v>
      </c>
      <c r="E17" s="1"/>
      <c r="F17" s="1"/>
      <c r="G17" s="1"/>
      <c r="H17" s="1"/>
      <c r="I17" s="1"/>
      <c r="J17" s="1"/>
      <c r="K17" s="1"/>
      <c r="L17" s="1"/>
    </row>
    <row r="18" spans="1:13" ht="31.95" customHeight="1" x14ac:dyDescent="0.3">
      <c r="A18" s="1"/>
      <c r="B18" s="21" t="s">
        <v>214</v>
      </c>
      <c r="C18" s="22" t="s">
        <v>215</v>
      </c>
      <c r="D18" s="12" t="s">
        <v>216</v>
      </c>
      <c r="E18" s="1"/>
      <c r="F18" s="1"/>
      <c r="G18" s="1"/>
      <c r="H18" s="1"/>
      <c r="I18" s="1"/>
      <c r="J18" s="1"/>
      <c r="K18" s="1"/>
      <c r="L18" s="1"/>
    </row>
    <row r="19" spans="1:13" ht="31.95" customHeight="1" x14ac:dyDescent="0.3">
      <c r="A19" s="1"/>
      <c r="B19" s="23" t="s">
        <v>217</v>
      </c>
      <c r="C19" s="24" t="s">
        <v>218</v>
      </c>
      <c r="D19" s="14" t="s">
        <v>219</v>
      </c>
      <c r="E19" s="1"/>
      <c r="F19" s="1"/>
      <c r="G19" s="1"/>
      <c r="H19" s="1"/>
      <c r="I19" s="1"/>
      <c r="J19" s="1"/>
      <c r="K19" s="1"/>
      <c r="L19" s="1"/>
    </row>
    <row r="20" spans="1:13" ht="31.95" customHeight="1" x14ac:dyDescent="0.3">
      <c r="A20" s="1"/>
      <c r="B20" s="25" t="s">
        <v>220</v>
      </c>
      <c r="C20" s="26" t="s">
        <v>221</v>
      </c>
      <c r="D20" s="12" t="s">
        <v>222</v>
      </c>
      <c r="E20" s="1"/>
      <c r="F20" s="1"/>
      <c r="G20" s="1"/>
      <c r="H20" s="1"/>
      <c r="I20" s="1"/>
      <c r="J20" s="1"/>
      <c r="K20" s="1"/>
      <c r="L20" s="1"/>
    </row>
    <row r="21" spans="1:13" ht="10.050000000000001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25.95" customHeight="1" x14ac:dyDescent="0.3">
      <c r="A22" s="1"/>
      <c r="B22" s="89" t="s">
        <v>223</v>
      </c>
      <c r="C22" s="90"/>
      <c r="D22" s="90"/>
      <c r="E22" s="91"/>
      <c r="F22" s="1"/>
      <c r="G22" s="1"/>
      <c r="H22" s="1"/>
      <c r="I22" s="1"/>
      <c r="J22" s="1"/>
      <c r="K22" s="1"/>
      <c r="L22" s="1"/>
    </row>
    <row r="23" spans="1:13" ht="30" customHeight="1" x14ac:dyDescent="0.3">
      <c r="A23" s="1"/>
      <c r="B23" s="16" t="s">
        <v>29</v>
      </c>
      <c r="C23" s="16" t="s">
        <v>206</v>
      </c>
      <c r="D23" s="16" t="s">
        <v>207</v>
      </c>
      <c r="E23" s="1"/>
      <c r="F23" s="1"/>
      <c r="G23" s="1"/>
      <c r="H23" s="1"/>
      <c r="I23" s="1"/>
      <c r="J23" s="1"/>
      <c r="K23" s="1"/>
      <c r="L23" s="1"/>
    </row>
    <row r="24" spans="1:13" ht="31.95" customHeight="1" x14ac:dyDescent="0.3">
      <c r="A24" s="1"/>
      <c r="B24" s="17" t="s">
        <v>224</v>
      </c>
      <c r="C24" s="18" t="s">
        <v>209</v>
      </c>
      <c r="D24" s="12" t="s">
        <v>225</v>
      </c>
      <c r="E24" s="1"/>
      <c r="F24" s="1"/>
      <c r="G24" s="1"/>
      <c r="H24" s="1"/>
      <c r="I24" s="1"/>
      <c r="J24" s="1"/>
      <c r="K24" s="1"/>
      <c r="L24" s="1"/>
    </row>
    <row r="25" spans="1:13" ht="31.95" customHeight="1" x14ac:dyDescent="0.3">
      <c r="A25" s="1"/>
      <c r="B25" s="19" t="s">
        <v>226</v>
      </c>
      <c r="C25" s="20" t="s">
        <v>212</v>
      </c>
      <c r="D25" s="14" t="s">
        <v>227</v>
      </c>
      <c r="E25" s="1"/>
      <c r="F25" s="1"/>
      <c r="G25" s="1"/>
      <c r="H25" s="1"/>
      <c r="I25" s="1"/>
      <c r="J25" s="1"/>
      <c r="K25" s="1"/>
      <c r="L25" s="1"/>
    </row>
    <row r="26" spans="1:13" ht="31.95" customHeight="1" x14ac:dyDescent="0.3">
      <c r="A26" s="1"/>
      <c r="B26" s="21" t="s">
        <v>39</v>
      </c>
      <c r="C26" s="22" t="s">
        <v>215</v>
      </c>
      <c r="D26" s="12" t="s">
        <v>228</v>
      </c>
      <c r="E26" s="1"/>
      <c r="F26" s="1"/>
      <c r="G26" s="1"/>
      <c r="H26" s="1"/>
      <c r="I26" s="1"/>
      <c r="J26" s="1"/>
      <c r="K26" s="1"/>
      <c r="L26" s="1"/>
    </row>
    <row r="27" spans="1:13" ht="31.95" customHeight="1" x14ac:dyDescent="0.3">
      <c r="A27" s="1"/>
      <c r="B27" s="23" t="s">
        <v>49</v>
      </c>
      <c r="C27" s="24" t="s">
        <v>218</v>
      </c>
      <c r="D27" s="14" t="s">
        <v>229</v>
      </c>
      <c r="E27" s="1"/>
      <c r="F27" s="1"/>
      <c r="G27" s="1"/>
      <c r="H27" s="1"/>
      <c r="I27" s="1"/>
      <c r="J27" s="1"/>
      <c r="K27" s="1"/>
      <c r="L27" s="1"/>
    </row>
    <row r="28" spans="1:13" ht="31.95" customHeight="1" x14ac:dyDescent="0.3">
      <c r="A28" s="1"/>
      <c r="B28" s="25" t="s">
        <v>230</v>
      </c>
      <c r="C28" s="26" t="s">
        <v>221</v>
      </c>
      <c r="D28" s="12" t="s">
        <v>231</v>
      </c>
      <c r="E28" s="1"/>
      <c r="F28" s="1"/>
      <c r="G28" s="1"/>
      <c r="H28" s="1"/>
      <c r="I28" s="1"/>
      <c r="J28" s="1"/>
      <c r="K28" s="1"/>
      <c r="L28" s="1"/>
    </row>
    <row r="29" spans="1:13" ht="10.050000000000001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5.95" customHeight="1" x14ac:dyDescent="0.3">
      <c r="A30" s="1"/>
      <c r="B30" s="89" t="s">
        <v>232</v>
      </c>
      <c r="C30" s="90"/>
      <c r="D30" s="90"/>
      <c r="E30" s="91"/>
      <c r="F30" s="1"/>
      <c r="G30" s="1"/>
      <c r="H30" s="1"/>
      <c r="I30" s="1"/>
      <c r="J30" s="1"/>
      <c r="K30" s="1"/>
      <c r="L30" s="1"/>
    </row>
    <row r="31" spans="1:13" ht="30" customHeight="1" x14ac:dyDescent="0.3">
      <c r="A31" s="1"/>
      <c r="B31" s="16" t="s">
        <v>233</v>
      </c>
      <c r="C31" s="16" t="s">
        <v>234</v>
      </c>
      <c r="D31" s="16" t="s">
        <v>235</v>
      </c>
      <c r="E31" s="1"/>
      <c r="F31" s="1"/>
      <c r="G31" s="1"/>
      <c r="H31" s="1"/>
      <c r="I31" s="1"/>
      <c r="J31" s="1"/>
      <c r="K31" s="1"/>
      <c r="L31" s="1"/>
    </row>
    <row r="32" spans="1:13" ht="36" customHeight="1" x14ac:dyDescent="0.3">
      <c r="A32" s="1"/>
      <c r="B32" s="27" t="s">
        <v>236</v>
      </c>
      <c r="C32" s="27" t="s">
        <v>226</v>
      </c>
      <c r="D32" s="12" t="s">
        <v>237</v>
      </c>
      <c r="E32" s="1"/>
      <c r="F32" s="1"/>
      <c r="G32" s="1"/>
      <c r="H32" s="1"/>
      <c r="I32" s="1"/>
      <c r="J32" s="1"/>
      <c r="K32" s="1"/>
      <c r="L32" s="1"/>
    </row>
    <row r="33" spans="1:13" ht="36" customHeight="1" x14ac:dyDescent="0.3">
      <c r="A33" s="1"/>
      <c r="B33" s="28" t="s">
        <v>238</v>
      </c>
      <c r="C33" s="28" t="s">
        <v>39</v>
      </c>
      <c r="D33" s="14" t="s">
        <v>239</v>
      </c>
      <c r="E33" s="1"/>
      <c r="F33" s="1"/>
      <c r="G33" s="1"/>
      <c r="H33" s="1"/>
      <c r="I33" s="1"/>
      <c r="J33" s="1"/>
      <c r="K33" s="1"/>
      <c r="L33" s="1"/>
    </row>
    <row r="34" spans="1:13" ht="36" customHeight="1" x14ac:dyDescent="0.3">
      <c r="A34" s="1"/>
      <c r="B34" s="29" t="s">
        <v>240</v>
      </c>
      <c r="C34" s="29" t="s">
        <v>49</v>
      </c>
      <c r="D34" s="12" t="s">
        <v>241</v>
      </c>
      <c r="E34" s="1"/>
      <c r="F34" s="1"/>
      <c r="G34" s="1"/>
      <c r="H34" s="1"/>
      <c r="I34" s="1"/>
      <c r="J34" s="1"/>
      <c r="K34" s="1"/>
      <c r="L34" s="1"/>
    </row>
    <row r="35" spans="1:13" ht="36" customHeight="1" x14ac:dyDescent="0.3">
      <c r="A35" s="1"/>
      <c r="B35" s="30" t="s">
        <v>242</v>
      </c>
      <c r="C35" s="30" t="s">
        <v>243</v>
      </c>
      <c r="D35" s="14" t="s">
        <v>244</v>
      </c>
      <c r="E35" s="1"/>
      <c r="F35" s="1"/>
      <c r="G35" s="1"/>
      <c r="H35" s="1"/>
      <c r="I35" s="1"/>
      <c r="J35" s="1"/>
      <c r="K35" s="1"/>
      <c r="L35" s="1"/>
    </row>
    <row r="36" spans="1:13" ht="10.050000000000001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25.95" customHeight="1" x14ac:dyDescent="0.3">
      <c r="A37" s="1"/>
      <c r="B37" s="89" t="s">
        <v>245</v>
      </c>
      <c r="C37" s="90"/>
      <c r="D37" s="90"/>
      <c r="E37" s="91"/>
      <c r="F37" s="1"/>
      <c r="G37" s="1"/>
      <c r="H37" s="1"/>
      <c r="I37" s="1"/>
      <c r="J37" s="1"/>
      <c r="K37" s="1"/>
      <c r="L37" s="1"/>
    </row>
    <row r="38" spans="1:13" ht="30" customHeight="1" x14ac:dyDescent="0.3">
      <c r="A38" s="1"/>
      <c r="B38" s="16" t="s">
        <v>31</v>
      </c>
      <c r="C38" s="16" t="s">
        <v>246</v>
      </c>
      <c r="D38" s="16" t="s">
        <v>247</v>
      </c>
      <c r="E38" s="1"/>
      <c r="F38" s="1"/>
      <c r="G38" s="1"/>
      <c r="H38" s="1"/>
      <c r="I38" s="1"/>
      <c r="J38" s="1"/>
      <c r="K38" s="1"/>
      <c r="L38" s="1"/>
    </row>
    <row r="39" spans="1:13" ht="43.95" customHeight="1" x14ac:dyDescent="0.3">
      <c r="A39" s="1"/>
      <c r="B39" s="17" t="s">
        <v>248</v>
      </c>
      <c r="C39" s="12" t="s">
        <v>249</v>
      </c>
      <c r="D39" s="13" t="s">
        <v>250</v>
      </c>
      <c r="E39" s="1"/>
      <c r="F39" s="1"/>
      <c r="G39" s="1"/>
      <c r="H39" s="1"/>
      <c r="I39" s="1"/>
      <c r="J39" s="1"/>
      <c r="K39" s="1"/>
      <c r="L39" s="1"/>
    </row>
    <row r="40" spans="1:13" ht="43.95" customHeight="1" x14ac:dyDescent="0.3">
      <c r="A40" s="1"/>
      <c r="B40" s="19" t="s">
        <v>251</v>
      </c>
      <c r="C40" s="14" t="s">
        <v>252</v>
      </c>
      <c r="D40" s="15" t="s">
        <v>253</v>
      </c>
      <c r="E40" s="1"/>
      <c r="F40" s="1"/>
      <c r="G40" s="1"/>
      <c r="H40" s="1"/>
      <c r="I40" s="1"/>
      <c r="J40" s="1"/>
      <c r="K40" s="1"/>
      <c r="L40" s="1"/>
    </row>
    <row r="41" spans="1:13" ht="43.95" customHeight="1" x14ac:dyDescent="0.3">
      <c r="A41" s="1"/>
      <c r="B41" s="21" t="s">
        <v>254</v>
      </c>
      <c r="C41" s="12" t="s">
        <v>255</v>
      </c>
      <c r="D41" s="13" t="s">
        <v>256</v>
      </c>
      <c r="E41" s="1"/>
      <c r="F41" s="1"/>
      <c r="G41" s="1"/>
      <c r="H41" s="1"/>
      <c r="I41" s="1"/>
      <c r="J41" s="1"/>
      <c r="K41" s="1"/>
      <c r="L41" s="1"/>
    </row>
    <row r="42" spans="1:13" ht="43.95" customHeight="1" x14ac:dyDescent="0.3">
      <c r="A42" s="1"/>
      <c r="B42" s="31" t="s">
        <v>257</v>
      </c>
      <c r="C42" s="14" t="s">
        <v>258</v>
      </c>
      <c r="D42" s="15" t="s">
        <v>259</v>
      </c>
      <c r="E42" s="1"/>
      <c r="F42" s="1"/>
      <c r="G42" s="1"/>
      <c r="H42" s="1"/>
      <c r="I42" s="1"/>
      <c r="J42" s="1"/>
      <c r="K42" s="1"/>
      <c r="L42" s="1"/>
    </row>
    <row r="43" spans="1:13" ht="43.95" customHeight="1" x14ac:dyDescent="0.3">
      <c r="A43" s="1"/>
      <c r="B43" s="17" t="s">
        <v>260</v>
      </c>
      <c r="C43" s="12" t="s">
        <v>261</v>
      </c>
      <c r="D43" s="13" t="s">
        <v>262</v>
      </c>
      <c r="E43" s="1"/>
      <c r="F43" s="1"/>
      <c r="G43" s="1"/>
      <c r="H43" s="1"/>
      <c r="I43" s="1"/>
      <c r="J43" s="1"/>
      <c r="K43" s="1"/>
      <c r="L43" s="1"/>
    </row>
    <row r="44" spans="1:13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3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3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3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3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</sheetData>
  <mergeCells count="7">
    <mergeCell ref="B37:E37"/>
    <mergeCell ref="B30:E30"/>
    <mergeCell ref="B3:E3"/>
    <mergeCell ref="B2:E2"/>
    <mergeCell ref="B5:E5"/>
    <mergeCell ref="B22:E22"/>
    <mergeCell ref="B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9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6" customWidth="1"/>
    <col min="3" max="3" width="14" customWidth="1"/>
    <col min="4" max="4" width="32" customWidth="1"/>
    <col min="5" max="5" width="24" customWidth="1"/>
    <col min="6" max="6" width="26" customWidth="1"/>
    <col min="7" max="9" width="6" customWidth="1"/>
    <col min="10" max="11" width="11" customWidth="1"/>
    <col min="12" max="12" width="14" customWidth="1"/>
    <col min="13" max="13" width="18" customWidth="1"/>
    <col min="14" max="14" width="12" customWidth="1"/>
    <col min="15" max="15" width="2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40.049999999999997" customHeight="1" x14ac:dyDescent="0.3">
      <c r="A2" s="1"/>
      <c r="B2" s="95" t="s">
        <v>263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1"/>
      <c r="O2" s="1"/>
      <c r="P2" s="1"/>
    </row>
    <row r="3" spans="1:16" ht="24" customHeight="1" x14ac:dyDescent="0.3">
      <c r="A3" s="1"/>
      <c r="B3" s="99" t="s">
        <v>264</v>
      </c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1"/>
      <c r="O3" s="1"/>
      <c r="P3" s="1"/>
    </row>
    <row r="4" spans="1:16" ht="10.05000000000000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30" customHeight="1" x14ac:dyDescent="0.3">
      <c r="A5" s="1"/>
      <c r="B5" s="93" t="s">
        <v>265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6"/>
      <c r="O5" s="1"/>
      <c r="P5" s="1"/>
    </row>
    <row r="6" spans="1:16" ht="34.049999999999997" customHeight="1" x14ac:dyDescent="0.3">
      <c r="A6" s="1"/>
      <c r="B6" s="32" t="s">
        <v>21</v>
      </c>
      <c r="C6" s="32" t="s">
        <v>22</v>
      </c>
      <c r="D6" s="32" t="s">
        <v>23</v>
      </c>
      <c r="E6" s="32" t="s">
        <v>24</v>
      </c>
      <c r="F6" s="32" t="s">
        <v>25</v>
      </c>
      <c r="G6" s="32" t="s">
        <v>26</v>
      </c>
      <c r="H6" s="32" t="s">
        <v>27</v>
      </c>
      <c r="I6" s="32" t="s">
        <v>28</v>
      </c>
      <c r="J6" s="32" t="s">
        <v>29</v>
      </c>
      <c r="K6" s="32" t="s">
        <v>30</v>
      </c>
      <c r="L6" s="32" t="s">
        <v>31</v>
      </c>
      <c r="M6" s="32" t="s">
        <v>32</v>
      </c>
      <c r="N6" s="32" t="s">
        <v>33</v>
      </c>
      <c r="O6" s="1"/>
      <c r="P6" s="1"/>
    </row>
    <row r="7" spans="1:16" ht="49.95" customHeight="1" x14ac:dyDescent="0.3">
      <c r="A7" s="1"/>
      <c r="B7" s="33" t="s">
        <v>34</v>
      </c>
      <c r="C7" s="34" t="s">
        <v>266</v>
      </c>
      <c r="D7" s="12" t="s">
        <v>267</v>
      </c>
      <c r="E7" s="35" t="s">
        <v>268</v>
      </c>
      <c r="F7" s="12" t="s">
        <v>269</v>
      </c>
      <c r="G7" s="20">
        <v>4</v>
      </c>
      <c r="H7" s="20">
        <v>5</v>
      </c>
      <c r="I7" s="26">
        <f t="shared" ref="I7:I21" si="0">G7*H7</f>
        <v>20</v>
      </c>
      <c r="J7" s="25" t="s">
        <v>243</v>
      </c>
      <c r="K7" s="25" t="s">
        <v>40</v>
      </c>
      <c r="L7" s="19" t="s">
        <v>41</v>
      </c>
      <c r="M7" s="12" t="s">
        <v>42</v>
      </c>
      <c r="N7" s="19" t="s">
        <v>43</v>
      </c>
      <c r="O7" s="1"/>
      <c r="P7" s="1"/>
    </row>
    <row r="8" spans="1:16" ht="49.95" customHeight="1" x14ac:dyDescent="0.3">
      <c r="A8" s="1"/>
      <c r="B8" s="33" t="s">
        <v>44</v>
      </c>
      <c r="C8" s="36" t="s">
        <v>270</v>
      </c>
      <c r="D8" s="14" t="s">
        <v>271</v>
      </c>
      <c r="E8" s="6" t="s">
        <v>272</v>
      </c>
      <c r="F8" s="14" t="s">
        <v>273</v>
      </c>
      <c r="G8" s="20">
        <v>3</v>
      </c>
      <c r="H8" s="20">
        <v>4</v>
      </c>
      <c r="I8" s="26">
        <f t="shared" si="0"/>
        <v>12</v>
      </c>
      <c r="J8" s="25" t="s">
        <v>49</v>
      </c>
      <c r="K8" s="25" t="s">
        <v>40</v>
      </c>
      <c r="L8" s="37" t="s">
        <v>274</v>
      </c>
      <c r="M8" s="14" t="s">
        <v>9</v>
      </c>
      <c r="N8" s="19" t="s">
        <v>43</v>
      </c>
      <c r="O8" s="1"/>
      <c r="P8" s="1"/>
    </row>
    <row r="9" spans="1:16" ht="49.95" customHeight="1" x14ac:dyDescent="0.3">
      <c r="A9" s="1"/>
      <c r="B9" s="33" t="s">
        <v>52</v>
      </c>
      <c r="C9" s="34" t="s">
        <v>76</v>
      </c>
      <c r="D9" s="12" t="s">
        <v>275</v>
      </c>
      <c r="E9" s="35" t="s">
        <v>276</v>
      </c>
      <c r="F9" s="12" t="s">
        <v>277</v>
      </c>
      <c r="G9" s="20">
        <v>2</v>
      </c>
      <c r="H9" s="20">
        <v>5</v>
      </c>
      <c r="I9" s="26">
        <f t="shared" si="0"/>
        <v>10</v>
      </c>
      <c r="J9" s="25" t="s">
        <v>49</v>
      </c>
      <c r="K9" s="25" t="s">
        <v>40</v>
      </c>
      <c r="L9" s="19" t="s">
        <v>41</v>
      </c>
      <c r="M9" s="12" t="s">
        <v>278</v>
      </c>
      <c r="N9" s="19" t="s">
        <v>43</v>
      </c>
      <c r="O9" s="1"/>
      <c r="P9" s="1"/>
    </row>
    <row r="10" spans="1:16" ht="49.95" customHeight="1" x14ac:dyDescent="0.3">
      <c r="A10" s="1"/>
      <c r="B10" s="33" t="s">
        <v>58</v>
      </c>
      <c r="C10" s="36" t="s">
        <v>279</v>
      </c>
      <c r="D10" s="14" t="s">
        <v>280</v>
      </c>
      <c r="E10" s="6" t="s">
        <v>281</v>
      </c>
      <c r="F10" s="14" t="s">
        <v>282</v>
      </c>
      <c r="G10" s="20">
        <v>5</v>
      </c>
      <c r="H10" s="20">
        <v>4</v>
      </c>
      <c r="I10" s="26">
        <f t="shared" si="0"/>
        <v>20</v>
      </c>
      <c r="J10" s="25" t="s">
        <v>243</v>
      </c>
      <c r="K10" s="25" t="s">
        <v>40</v>
      </c>
      <c r="L10" s="37" t="s">
        <v>50</v>
      </c>
      <c r="M10" s="14" t="s">
        <v>9</v>
      </c>
      <c r="N10" s="19" t="s">
        <v>43</v>
      </c>
      <c r="O10" s="1"/>
      <c r="P10" s="1"/>
    </row>
    <row r="11" spans="1:16" ht="49.95" customHeight="1" x14ac:dyDescent="0.3">
      <c r="A11" s="1"/>
      <c r="B11" s="33" t="s">
        <v>64</v>
      </c>
      <c r="C11" s="34" t="s">
        <v>283</v>
      </c>
      <c r="D11" s="12" t="s">
        <v>284</v>
      </c>
      <c r="E11" s="35" t="s">
        <v>285</v>
      </c>
      <c r="F11" s="12" t="s">
        <v>286</v>
      </c>
      <c r="G11" s="20">
        <v>3</v>
      </c>
      <c r="H11" s="20">
        <v>5</v>
      </c>
      <c r="I11" s="26">
        <f t="shared" si="0"/>
        <v>15</v>
      </c>
      <c r="J11" s="25" t="s">
        <v>243</v>
      </c>
      <c r="K11" s="25" t="s">
        <v>40</v>
      </c>
      <c r="L11" s="19" t="s">
        <v>41</v>
      </c>
      <c r="M11" s="12" t="s">
        <v>287</v>
      </c>
      <c r="N11" s="19" t="s">
        <v>43</v>
      </c>
      <c r="O11" s="1"/>
      <c r="P11" s="1"/>
    </row>
    <row r="12" spans="1:16" ht="49.95" customHeight="1" x14ac:dyDescent="0.3">
      <c r="A12" s="1"/>
      <c r="B12" s="33" t="s">
        <v>69</v>
      </c>
      <c r="C12" s="36" t="s">
        <v>70</v>
      </c>
      <c r="D12" s="14" t="s">
        <v>288</v>
      </c>
      <c r="E12" s="6" t="s">
        <v>289</v>
      </c>
      <c r="F12" s="14" t="s">
        <v>290</v>
      </c>
      <c r="G12" s="20">
        <v>3</v>
      </c>
      <c r="H12" s="20">
        <v>5</v>
      </c>
      <c r="I12" s="26">
        <f t="shared" si="0"/>
        <v>15</v>
      </c>
      <c r="J12" s="25" t="s">
        <v>243</v>
      </c>
      <c r="K12" s="25" t="s">
        <v>40</v>
      </c>
      <c r="L12" s="37" t="s">
        <v>41</v>
      </c>
      <c r="M12" s="14" t="s">
        <v>291</v>
      </c>
      <c r="N12" s="19" t="s">
        <v>43</v>
      </c>
      <c r="O12" s="1"/>
      <c r="P12" s="1"/>
    </row>
    <row r="13" spans="1:16" ht="49.95" customHeight="1" x14ac:dyDescent="0.3">
      <c r="A13" s="1"/>
      <c r="B13" s="33" t="s">
        <v>75</v>
      </c>
      <c r="C13" s="34" t="s">
        <v>292</v>
      </c>
      <c r="D13" s="12" t="s">
        <v>293</v>
      </c>
      <c r="E13" s="35" t="s">
        <v>294</v>
      </c>
      <c r="F13" s="12" t="s">
        <v>295</v>
      </c>
      <c r="G13" s="20">
        <v>3</v>
      </c>
      <c r="H13" s="20">
        <v>4</v>
      </c>
      <c r="I13" s="26">
        <f t="shared" si="0"/>
        <v>12</v>
      </c>
      <c r="J13" s="25" t="s">
        <v>49</v>
      </c>
      <c r="K13" s="25" t="s">
        <v>40</v>
      </c>
      <c r="L13" s="19" t="s">
        <v>41</v>
      </c>
      <c r="M13" s="12" t="s">
        <v>296</v>
      </c>
      <c r="N13" s="19" t="s">
        <v>43</v>
      </c>
      <c r="O13" s="1"/>
      <c r="P13" s="1"/>
    </row>
    <row r="14" spans="1:16" ht="49.95" customHeight="1" x14ac:dyDescent="0.3">
      <c r="A14" s="1"/>
      <c r="B14" s="33" t="s">
        <v>80</v>
      </c>
      <c r="C14" s="36" t="s">
        <v>297</v>
      </c>
      <c r="D14" s="14" t="s">
        <v>298</v>
      </c>
      <c r="E14" s="6" t="s">
        <v>299</v>
      </c>
      <c r="F14" s="14" t="s">
        <v>300</v>
      </c>
      <c r="G14" s="20">
        <v>3</v>
      </c>
      <c r="H14" s="20">
        <v>4</v>
      </c>
      <c r="I14" s="26">
        <f t="shared" si="0"/>
        <v>12</v>
      </c>
      <c r="J14" s="25" t="s">
        <v>49</v>
      </c>
      <c r="K14" s="25" t="s">
        <v>40</v>
      </c>
      <c r="L14" s="37" t="s">
        <v>41</v>
      </c>
      <c r="M14" s="14" t="s">
        <v>9</v>
      </c>
      <c r="N14" s="19" t="s">
        <v>43</v>
      </c>
      <c r="O14" s="1"/>
      <c r="P14" s="1"/>
    </row>
    <row r="15" spans="1:16" ht="49.95" customHeight="1" x14ac:dyDescent="0.3">
      <c r="A15" s="1"/>
      <c r="B15" s="33" t="s">
        <v>86</v>
      </c>
      <c r="C15" s="34" t="s">
        <v>301</v>
      </c>
      <c r="D15" s="12" t="s">
        <v>302</v>
      </c>
      <c r="E15" s="35" t="s">
        <v>303</v>
      </c>
      <c r="F15" s="12" t="s">
        <v>304</v>
      </c>
      <c r="G15" s="20">
        <v>4</v>
      </c>
      <c r="H15" s="20">
        <v>4</v>
      </c>
      <c r="I15" s="26">
        <f t="shared" si="0"/>
        <v>16</v>
      </c>
      <c r="J15" s="25" t="s">
        <v>243</v>
      </c>
      <c r="K15" s="25" t="s">
        <v>40</v>
      </c>
      <c r="L15" s="19" t="s">
        <v>41</v>
      </c>
      <c r="M15" s="12" t="s">
        <v>305</v>
      </c>
      <c r="N15" s="19" t="s">
        <v>43</v>
      </c>
      <c r="O15" s="1"/>
      <c r="P15" s="1"/>
    </row>
    <row r="16" spans="1:16" ht="49.95" customHeight="1" x14ac:dyDescent="0.3">
      <c r="A16" s="1"/>
      <c r="B16" s="33" t="s">
        <v>87</v>
      </c>
      <c r="C16" s="36" t="s">
        <v>306</v>
      </c>
      <c r="D16" s="14" t="s">
        <v>307</v>
      </c>
      <c r="E16" s="6" t="s">
        <v>308</v>
      </c>
      <c r="F16" s="14" t="s">
        <v>309</v>
      </c>
      <c r="G16" s="20">
        <v>4</v>
      </c>
      <c r="H16" s="20">
        <v>3</v>
      </c>
      <c r="I16" s="26">
        <f t="shared" si="0"/>
        <v>12</v>
      </c>
      <c r="J16" s="25" t="s">
        <v>49</v>
      </c>
      <c r="K16" s="25" t="s">
        <v>40</v>
      </c>
      <c r="L16" s="37" t="s">
        <v>41</v>
      </c>
      <c r="M16" s="14" t="s">
        <v>310</v>
      </c>
      <c r="N16" s="19" t="s">
        <v>43</v>
      </c>
      <c r="O16" s="1"/>
      <c r="P16" s="1"/>
    </row>
    <row r="17" spans="1:16" ht="49.95" customHeight="1" x14ac:dyDescent="0.3">
      <c r="A17" s="1"/>
      <c r="B17" s="33" t="s">
        <v>88</v>
      </c>
      <c r="C17" s="34" t="s">
        <v>311</v>
      </c>
      <c r="D17" s="12" t="s">
        <v>312</v>
      </c>
      <c r="E17" s="35" t="s">
        <v>313</v>
      </c>
      <c r="F17" s="12" t="s">
        <v>314</v>
      </c>
      <c r="G17" s="20">
        <v>2</v>
      </c>
      <c r="H17" s="20">
        <v>5</v>
      </c>
      <c r="I17" s="26">
        <f t="shared" si="0"/>
        <v>10</v>
      </c>
      <c r="J17" s="25" t="s">
        <v>49</v>
      </c>
      <c r="K17" s="25" t="s">
        <v>40</v>
      </c>
      <c r="L17" s="19" t="s">
        <v>50</v>
      </c>
      <c r="M17" s="12" t="s">
        <v>315</v>
      </c>
      <c r="N17" s="19" t="s">
        <v>43</v>
      </c>
      <c r="O17" s="1"/>
      <c r="P17" s="1"/>
    </row>
    <row r="18" spans="1:16" ht="49.95" customHeight="1" x14ac:dyDescent="0.3">
      <c r="A18" s="1"/>
      <c r="B18" s="33" t="s">
        <v>89</v>
      </c>
      <c r="C18" s="36" t="s">
        <v>316</v>
      </c>
      <c r="D18" s="14" t="s">
        <v>317</v>
      </c>
      <c r="E18" s="6" t="s">
        <v>318</v>
      </c>
      <c r="F18" s="14" t="s">
        <v>319</v>
      </c>
      <c r="G18" s="20">
        <v>4</v>
      </c>
      <c r="H18" s="20">
        <v>3</v>
      </c>
      <c r="I18" s="26">
        <f t="shared" si="0"/>
        <v>12</v>
      </c>
      <c r="J18" s="25" t="s">
        <v>49</v>
      </c>
      <c r="K18" s="25" t="s">
        <v>40</v>
      </c>
      <c r="L18" s="37" t="s">
        <v>41</v>
      </c>
      <c r="M18" s="14" t="s">
        <v>9</v>
      </c>
      <c r="N18" s="19" t="s">
        <v>43</v>
      </c>
      <c r="O18" s="1"/>
      <c r="P18" s="1"/>
    </row>
    <row r="19" spans="1:16" ht="49.95" customHeight="1" x14ac:dyDescent="0.3">
      <c r="A19" s="1"/>
      <c r="B19" s="33" t="s">
        <v>320</v>
      </c>
      <c r="C19" s="34" t="s">
        <v>292</v>
      </c>
      <c r="D19" s="12" t="s">
        <v>321</v>
      </c>
      <c r="E19" s="35" t="s">
        <v>322</v>
      </c>
      <c r="F19" s="12" t="s">
        <v>323</v>
      </c>
      <c r="G19" s="20">
        <v>2</v>
      </c>
      <c r="H19" s="20">
        <v>3</v>
      </c>
      <c r="I19" s="22">
        <f t="shared" si="0"/>
        <v>6</v>
      </c>
      <c r="J19" s="21" t="s">
        <v>39</v>
      </c>
      <c r="K19" s="25" t="s">
        <v>40</v>
      </c>
      <c r="L19" s="19" t="s">
        <v>324</v>
      </c>
      <c r="M19" s="12" t="s">
        <v>42</v>
      </c>
      <c r="N19" s="19" t="s">
        <v>325</v>
      </c>
      <c r="O19" s="1"/>
      <c r="P19" s="1"/>
    </row>
    <row r="20" spans="1:16" ht="49.95" customHeight="1" x14ac:dyDescent="0.3">
      <c r="A20" s="1"/>
      <c r="B20" s="33" t="s">
        <v>326</v>
      </c>
      <c r="C20" s="38" t="s">
        <v>202</v>
      </c>
      <c r="D20" s="39" t="s">
        <v>327</v>
      </c>
      <c r="E20" s="40" t="s">
        <v>328</v>
      </c>
      <c r="F20" s="39" t="s">
        <v>329</v>
      </c>
      <c r="G20" s="20">
        <v>3</v>
      </c>
      <c r="H20" s="20">
        <v>4</v>
      </c>
      <c r="I20" s="26">
        <f t="shared" si="0"/>
        <v>12</v>
      </c>
      <c r="J20" s="25" t="s">
        <v>49</v>
      </c>
      <c r="K20" s="17" t="s">
        <v>202</v>
      </c>
      <c r="L20" s="41" t="s">
        <v>330</v>
      </c>
      <c r="M20" s="39" t="s">
        <v>331</v>
      </c>
      <c r="N20" s="19" t="s">
        <v>43</v>
      </c>
      <c r="O20" s="1"/>
      <c r="P20" s="1"/>
    </row>
    <row r="21" spans="1:16" ht="49.95" customHeight="1" x14ac:dyDescent="0.3">
      <c r="A21" s="1"/>
      <c r="B21" s="33" t="s">
        <v>332</v>
      </c>
      <c r="C21" s="38" t="s">
        <v>202</v>
      </c>
      <c r="D21" s="39" t="s">
        <v>333</v>
      </c>
      <c r="E21" s="40" t="s">
        <v>334</v>
      </c>
      <c r="F21" s="39" t="s">
        <v>335</v>
      </c>
      <c r="G21" s="20">
        <v>4</v>
      </c>
      <c r="H21" s="20">
        <v>3</v>
      </c>
      <c r="I21" s="26">
        <f t="shared" si="0"/>
        <v>12</v>
      </c>
      <c r="J21" s="25" t="s">
        <v>49</v>
      </c>
      <c r="K21" s="17" t="s">
        <v>202</v>
      </c>
      <c r="L21" s="41" t="s">
        <v>330</v>
      </c>
      <c r="M21" s="39" t="s">
        <v>85</v>
      </c>
      <c r="N21" s="19" t="s">
        <v>43</v>
      </c>
      <c r="O21" s="1"/>
      <c r="P21" s="1"/>
    </row>
    <row r="22" spans="1:16" ht="28.05" customHeight="1" x14ac:dyDescent="0.3">
      <c r="A22" s="1"/>
      <c r="B22" s="100" t="s">
        <v>336</v>
      </c>
      <c r="C22" s="90"/>
      <c r="D22" s="90"/>
      <c r="E22" s="90"/>
      <c r="F22" s="91"/>
      <c r="G22" s="42">
        <f>AVERAGE(G7:G21)</f>
        <v>3.2666666666666666</v>
      </c>
      <c r="H22" s="42">
        <f>AVERAGE(H7:H21)</f>
        <v>4.0666666666666664</v>
      </c>
      <c r="I22" s="42">
        <f>AVERAGE(I7:I21)</f>
        <v>13.066666666666666</v>
      </c>
      <c r="J22" s="43" t="str">
        <f>COUNTIF(J7:J21,"CRITICO")&amp;" C / "&amp;COUNTIF(J7:J21,"ALTO")&amp;" A / "&amp;COUNTIF(J7:J21,"MEDIO")&amp;" M / "&amp;COUNTIF(J7:J21,"BAJO")&amp;" B"</f>
        <v>5 C / 9 A / 1 M / 0 B</v>
      </c>
      <c r="K22" s="1"/>
      <c r="L22" s="1"/>
      <c r="M22" s="1"/>
      <c r="N22" s="1"/>
      <c r="O22" s="1"/>
      <c r="P22" s="1"/>
    </row>
    <row r="23" spans="1:1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</sheetData>
  <mergeCells count="4">
    <mergeCell ref="B3:N3"/>
    <mergeCell ref="B2:N2"/>
    <mergeCell ref="B5:N5"/>
    <mergeCell ref="B22:F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9"/>
  <sheetViews>
    <sheetView showGridLines="0" workbookViewId="0"/>
  </sheetViews>
  <sheetFormatPr baseColWidth="10" defaultColWidth="8.88671875" defaultRowHeight="14.4" x14ac:dyDescent="0.3"/>
  <cols>
    <col min="1" max="1" width="3" customWidth="1"/>
    <col min="2" max="2" width="6" customWidth="1"/>
    <col min="3" max="7" width="16" customWidth="1"/>
    <col min="8" max="9" width="3" customWidth="1"/>
    <col min="10" max="11" width="20" customWidth="1"/>
    <col min="12" max="12" width="3" customWidth="1"/>
  </cols>
  <sheetData>
    <row r="1" spans="1:1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6" customHeight="1" x14ac:dyDescent="0.3">
      <c r="A2" s="1"/>
      <c r="B2" s="101" t="s">
        <v>337</v>
      </c>
      <c r="C2" s="90"/>
      <c r="D2" s="90"/>
      <c r="E2" s="90"/>
      <c r="F2" s="90"/>
      <c r="G2" s="91"/>
      <c r="H2" s="1"/>
      <c r="I2" s="1"/>
      <c r="J2" s="1"/>
      <c r="K2" s="1"/>
      <c r="L2" s="1"/>
      <c r="M2" s="1"/>
      <c r="N2" s="1"/>
      <c r="O2" s="1"/>
    </row>
    <row r="3" spans="1:15" ht="34.049999999999997" customHeight="1" x14ac:dyDescent="0.3">
      <c r="A3" s="1"/>
      <c r="B3" s="93" t="s">
        <v>338</v>
      </c>
      <c r="C3" s="85"/>
      <c r="D3" s="85"/>
      <c r="E3" s="85"/>
      <c r="F3" s="85"/>
      <c r="G3" s="86"/>
      <c r="H3" s="1"/>
      <c r="I3" s="1"/>
      <c r="J3" s="1"/>
      <c r="K3" s="1"/>
      <c r="L3" s="1"/>
      <c r="M3" s="1"/>
      <c r="N3" s="1"/>
      <c r="O3" s="1"/>
    </row>
    <row r="4" spans="1:15" ht="10.05000000000000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2.05" customHeight="1" x14ac:dyDescent="0.3">
      <c r="A5" s="1"/>
      <c r="B5" s="102" t="s">
        <v>339</v>
      </c>
      <c r="C5" s="17" t="s">
        <v>340</v>
      </c>
      <c r="D5" s="19" t="s">
        <v>341</v>
      </c>
      <c r="E5" s="21" t="s">
        <v>342</v>
      </c>
      <c r="F5" s="23" t="s">
        <v>343</v>
      </c>
      <c r="G5" s="25" t="s">
        <v>344</v>
      </c>
      <c r="H5" s="1"/>
      <c r="I5" s="1"/>
      <c r="J5" s="103" t="s">
        <v>345</v>
      </c>
      <c r="K5" s="91"/>
      <c r="L5" s="1"/>
      <c r="M5" s="1"/>
      <c r="N5" s="1"/>
      <c r="O5" s="1"/>
    </row>
    <row r="6" spans="1:15" ht="30" customHeight="1" x14ac:dyDescent="0.3">
      <c r="A6" s="1"/>
      <c r="B6" s="44" t="s">
        <v>346</v>
      </c>
      <c r="C6" s="45" t="s">
        <v>347</v>
      </c>
      <c r="D6" s="46" t="s">
        <v>348</v>
      </c>
      <c r="E6" s="47" t="s">
        <v>349</v>
      </c>
      <c r="F6" s="48" t="s">
        <v>350</v>
      </c>
      <c r="G6" s="47" t="s">
        <v>351</v>
      </c>
      <c r="H6" s="1"/>
      <c r="I6" s="1"/>
      <c r="J6" s="25" t="s">
        <v>352</v>
      </c>
      <c r="K6" s="49" t="s">
        <v>353</v>
      </c>
      <c r="L6" s="1"/>
      <c r="M6" s="1"/>
      <c r="N6" s="1"/>
      <c r="O6" s="1"/>
    </row>
    <row r="7" spans="1:15" ht="30" customHeight="1" x14ac:dyDescent="0.3">
      <c r="A7" s="1"/>
      <c r="B7" s="50" t="s">
        <v>354</v>
      </c>
      <c r="C7" s="51" t="s">
        <v>355</v>
      </c>
      <c r="D7" s="45" t="s">
        <v>356</v>
      </c>
      <c r="E7" s="48" t="s">
        <v>357</v>
      </c>
      <c r="F7" s="48" t="s">
        <v>358</v>
      </c>
      <c r="G7" s="48" t="s">
        <v>359</v>
      </c>
      <c r="H7" s="1"/>
      <c r="I7" s="1"/>
      <c r="J7" s="25" t="s">
        <v>360</v>
      </c>
      <c r="K7" s="52" t="s">
        <v>361</v>
      </c>
      <c r="L7" s="1"/>
      <c r="M7" s="1"/>
      <c r="N7" s="1"/>
      <c r="O7" s="1"/>
    </row>
    <row r="8" spans="1:15" ht="30" customHeight="1" x14ac:dyDescent="0.3">
      <c r="A8" s="1"/>
      <c r="B8" s="53" t="s">
        <v>362</v>
      </c>
      <c r="C8" s="51" t="s">
        <v>363</v>
      </c>
      <c r="D8" s="45" t="s">
        <v>364</v>
      </c>
      <c r="E8" s="45" t="s">
        <v>365</v>
      </c>
      <c r="F8" s="48" t="s">
        <v>366</v>
      </c>
      <c r="G8" s="48" t="s">
        <v>367</v>
      </c>
      <c r="H8" s="1"/>
      <c r="I8" s="1"/>
      <c r="J8" s="25" t="s">
        <v>368</v>
      </c>
      <c r="K8" s="49" t="s">
        <v>369</v>
      </c>
      <c r="L8" s="1"/>
      <c r="M8" s="1"/>
      <c r="N8" s="1"/>
      <c r="O8" s="1"/>
    </row>
    <row r="9" spans="1:15" ht="30" customHeight="1" x14ac:dyDescent="0.3">
      <c r="A9" s="1"/>
      <c r="B9" s="54" t="s">
        <v>370</v>
      </c>
      <c r="C9" s="51" t="s">
        <v>371</v>
      </c>
      <c r="D9" s="51" t="s">
        <v>355</v>
      </c>
      <c r="E9" s="55" t="s">
        <v>372</v>
      </c>
      <c r="F9" s="45" t="s">
        <v>356</v>
      </c>
      <c r="G9" s="48" t="s">
        <v>373</v>
      </c>
      <c r="H9" s="1"/>
      <c r="I9" s="1"/>
      <c r="J9" s="25" t="s">
        <v>374</v>
      </c>
      <c r="K9" s="52" t="s">
        <v>375</v>
      </c>
      <c r="L9" s="1"/>
      <c r="M9" s="1"/>
      <c r="N9" s="1"/>
      <c r="O9" s="1"/>
    </row>
    <row r="10" spans="1:15" ht="30" customHeight="1" x14ac:dyDescent="0.3">
      <c r="A10" s="1"/>
      <c r="B10" s="56" t="s">
        <v>376</v>
      </c>
      <c r="C10" s="51" t="s">
        <v>377</v>
      </c>
      <c r="D10" s="51" t="s">
        <v>371</v>
      </c>
      <c r="E10" s="51" t="s">
        <v>363</v>
      </c>
      <c r="F10" s="51" t="s">
        <v>355</v>
      </c>
      <c r="G10" s="45" t="s">
        <v>347</v>
      </c>
      <c r="H10" s="1"/>
      <c r="I10" s="1"/>
      <c r="J10" s="25" t="s">
        <v>378</v>
      </c>
      <c r="K10" s="49" t="s">
        <v>379</v>
      </c>
      <c r="L10" s="1"/>
      <c r="M10" s="1"/>
      <c r="N10" s="1"/>
      <c r="O10" s="1"/>
    </row>
    <row r="11" spans="1:15" ht="30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25" t="s">
        <v>380</v>
      </c>
      <c r="K11" s="52" t="s">
        <v>381</v>
      </c>
      <c r="L11" s="1"/>
      <c r="M11" s="1"/>
      <c r="N11" s="1"/>
      <c r="O11" s="1"/>
    </row>
    <row r="12" spans="1:15" ht="30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25" t="s">
        <v>382</v>
      </c>
      <c r="K12" s="49" t="s">
        <v>383</v>
      </c>
      <c r="L12" s="1"/>
      <c r="M12" s="1"/>
      <c r="N12" s="1"/>
      <c r="O12" s="1"/>
    </row>
    <row r="13" spans="1:15" ht="30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25" t="s">
        <v>384</v>
      </c>
      <c r="K13" s="52" t="s">
        <v>385</v>
      </c>
      <c r="L13" s="1"/>
      <c r="M13" s="1"/>
      <c r="N13" s="1"/>
      <c r="O13" s="1"/>
    </row>
    <row r="14" spans="1:15" ht="30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25" t="s">
        <v>386</v>
      </c>
      <c r="K14" s="49" t="s">
        <v>387</v>
      </c>
      <c r="L14" s="1"/>
      <c r="M14" s="1"/>
      <c r="N14" s="1"/>
      <c r="O14" s="1"/>
    </row>
    <row r="15" spans="1:15" ht="30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25" t="s">
        <v>388</v>
      </c>
      <c r="K15" s="52" t="s">
        <v>389</v>
      </c>
      <c r="L15" s="1"/>
      <c r="M15" s="1"/>
      <c r="N15" s="1"/>
      <c r="O15" s="1"/>
    </row>
    <row r="16" spans="1:15" ht="30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25" t="s">
        <v>390</v>
      </c>
      <c r="K16" s="49" t="s">
        <v>391</v>
      </c>
      <c r="L16" s="1"/>
      <c r="M16" s="1"/>
      <c r="N16" s="1"/>
      <c r="O16" s="1"/>
    </row>
    <row r="17" spans="1:15" ht="30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25" t="s">
        <v>392</v>
      </c>
      <c r="K17" s="52" t="s">
        <v>393</v>
      </c>
      <c r="L17" s="1"/>
      <c r="M17" s="1"/>
      <c r="N17" s="1"/>
      <c r="O17" s="1"/>
    </row>
    <row r="18" spans="1:15" ht="30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21" t="s">
        <v>394</v>
      </c>
      <c r="K18" s="49" t="s">
        <v>395</v>
      </c>
      <c r="L18" s="1"/>
      <c r="M18" s="1"/>
      <c r="N18" s="1"/>
      <c r="O18" s="1"/>
    </row>
    <row r="19" spans="1:15" ht="30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25" t="s">
        <v>396</v>
      </c>
      <c r="K19" s="52" t="s">
        <v>397</v>
      </c>
      <c r="L19" s="1"/>
      <c r="M19" s="1"/>
      <c r="N19" s="1"/>
      <c r="O19" s="1"/>
    </row>
    <row r="20" spans="1:15" ht="30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25" t="s">
        <v>398</v>
      </c>
      <c r="K20" s="49" t="s">
        <v>399</v>
      </c>
      <c r="L20" s="1"/>
      <c r="M20" s="1"/>
      <c r="N20" s="1"/>
      <c r="O20" s="1"/>
    </row>
    <row r="21" spans="1:15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</sheetData>
  <mergeCells count="4">
    <mergeCell ref="B3:G3"/>
    <mergeCell ref="B2:G2"/>
    <mergeCell ref="B5"/>
    <mergeCell ref="J5:K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9"/>
  <sheetViews>
    <sheetView showGridLines="0" topLeftCell="A6" workbookViewId="0"/>
  </sheetViews>
  <sheetFormatPr baseColWidth="10" defaultColWidth="8.88671875" defaultRowHeight="14.4" x14ac:dyDescent="0.3"/>
  <cols>
    <col min="1" max="1" width="2" customWidth="1"/>
    <col min="2" max="2" width="7" customWidth="1"/>
    <col min="3" max="3" width="12" customWidth="1"/>
    <col min="4" max="5" width="26" customWidth="1"/>
    <col min="6" max="6" width="18" customWidth="1"/>
    <col min="7" max="8" width="14" customWidth="1"/>
    <col min="9" max="9" width="18" customWidth="1"/>
    <col min="10" max="10" width="2" customWidth="1"/>
  </cols>
  <sheetData>
    <row r="1" spans="1:1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40.049999999999997" customHeight="1" x14ac:dyDescent="0.3">
      <c r="A2" s="1"/>
      <c r="B2" s="95" t="s">
        <v>400</v>
      </c>
      <c r="C2" s="90"/>
      <c r="D2" s="90"/>
      <c r="E2" s="90"/>
      <c r="F2" s="90"/>
      <c r="G2" s="90"/>
      <c r="H2" s="90"/>
      <c r="I2" s="91"/>
      <c r="J2" s="1"/>
      <c r="K2" s="1"/>
      <c r="L2" s="1"/>
      <c r="M2" s="1"/>
      <c r="N2" s="1"/>
      <c r="O2" s="1"/>
    </row>
    <row r="3" spans="1:15" ht="24" customHeight="1" x14ac:dyDescent="0.3">
      <c r="A3" s="1"/>
      <c r="B3" s="104" t="s">
        <v>401</v>
      </c>
      <c r="C3" s="90"/>
      <c r="D3" s="90"/>
      <c r="E3" s="90"/>
      <c r="F3" s="90"/>
      <c r="G3" s="90"/>
      <c r="H3" s="90"/>
      <c r="I3" s="91"/>
      <c r="J3" s="1"/>
      <c r="K3" s="1"/>
      <c r="L3" s="1"/>
      <c r="M3" s="1"/>
      <c r="N3" s="1"/>
      <c r="O3" s="1"/>
    </row>
    <row r="4" spans="1:15" ht="10.05000000000000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36" customHeight="1" x14ac:dyDescent="0.3">
      <c r="A5" s="1"/>
      <c r="B5" s="32" t="s">
        <v>21</v>
      </c>
      <c r="C5" s="32" t="s">
        <v>29</v>
      </c>
      <c r="D5" s="32" t="s">
        <v>402</v>
      </c>
      <c r="E5" s="32" t="s">
        <v>403</v>
      </c>
      <c r="F5" s="32" t="s">
        <v>93</v>
      </c>
      <c r="G5" s="32" t="s">
        <v>94</v>
      </c>
      <c r="H5" s="32" t="s">
        <v>404</v>
      </c>
      <c r="I5" s="32" t="s">
        <v>96</v>
      </c>
      <c r="J5" s="1"/>
      <c r="K5" s="1"/>
      <c r="L5" s="1"/>
      <c r="M5" s="1"/>
      <c r="N5" s="1"/>
      <c r="O5" s="1"/>
    </row>
    <row r="6" spans="1:15" ht="60" customHeight="1" x14ac:dyDescent="0.3">
      <c r="A6" s="1"/>
      <c r="B6" s="33" t="s">
        <v>34</v>
      </c>
      <c r="C6" s="25" t="s">
        <v>243</v>
      </c>
      <c r="D6" s="49" t="s">
        <v>405</v>
      </c>
      <c r="E6" s="49" t="s">
        <v>406</v>
      </c>
      <c r="F6" s="34" t="s">
        <v>42</v>
      </c>
      <c r="G6" s="21" t="s">
        <v>407</v>
      </c>
      <c r="H6" s="57" t="s">
        <v>408</v>
      </c>
      <c r="I6" s="58" t="s">
        <v>409</v>
      </c>
      <c r="J6" s="1"/>
      <c r="K6" s="1"/>
      <c r="L6" s="1"/>
      <c r="M6" s="1"/>
      <c r="N6" s="1"/>
      <c r="O6" s="1"/>
    </row>
    <row r="7" spans="1:15" ht="60" customHeight="1" x14ac:dyDescent="0.3">
      <c r="A7" s="1"/>
      <c r="B7" s="33" t="s">
        <v>44</v>
      </c>
      <c r="C7" s="25" t="s">
        <v>49</v>
      </c>
      <c r="D7" s="52" t="s">
        <v>410</v>
      </c>
      <c r="E7" s="52" t="s">
        <v>411</v>
      </c>
      <c r="F7" s="36" t="s">
        <v>9</v>
      </c>
      <c r="G7" s="21" t="s">
        <v>412</v>
      </c>
      <c r="H7" s="59" t="s">
        <v>413</v>
      </c>
      <c r="I7" s="58" t="s">
        <v>414</v>
      </c>
      <c r="J7" s="1"/>
      <c r="K7" s="1"/>
      <c r="L7" s="1"/>
      <c r="M7" s="1"/>
      <c r="N7" s="1"/>
      <c r="O7" s="1"/>
    </row>
    <row r="8" spans="1:15" ht="60" customHeight="1" x14ac:dyDescent="0.3">
      <c r="A8" s="1"/>
      <c r="B8" s="33" t="s">
        <v>52</v>
      </c>
      <c r="C8" s="25" t="s">
        <v>243</v>
      </c>
      <c r="D8" s="49" t="s">
        <v>415</v>
      </c>
      <c r="E8" s="49" t="s">
        <v>416</v>
      </c>
      <c r="F8" s="34" t="s">
        <v>278</v>
      </c>
      <c r="G8" s="21" t="s">
        <v>134</v>
      </c>
      <c r="H8" s="57" t="s">
        <v>417</v>
      </c>
      <c r="I8" s="58" t="s">
        <v>418</v>
      </c>
      <c r="J8" s="1"/>
      <c r="K8" s="1"/>
      <c r="L8" s="1"/>
      <c r="M8" s="1"/>
      <c r="N8" s="1"/>
      <c r="O8" s="1"/>
    </row>
    <row r="9" spans="1:15" ht="60" customHeight="1" x14ac:dyDescent="0.3">
      <c r="A9" s="1"/>
      <c r="B9" s="33" t="s">
        <v>58</v>
      </c>
      <c r="C9" s="25" t="s">
        <v>243</v>
      </c>
      <c r="D9" s="52" t="s">
        <v>419</v>
      </c>
      <c r="E9" s="52" t="s">
        <v>420</v>
      </c>
      <c r="F9" s="36" t="s">
        <v>9</v>
      </c>
      <c r="G9" s="21" t="s">
        <v>412</v>
      </c>
      <c r="H9" s="59" t="s">
        <v>421</v>
      </c>
      <c r="I9" s="58" t="s">
        <v>422</v>
      </c>
      <c r="J9" s="1"/>
      <c r="K9" s="1"/>
      <c r="L9" s="1"/>
      <c r="M9" s="1"/>
      <c r="N9" s="1"/>
      <c r="O9" s="1"/>
    </row>
    <row r="10" spans="1:15" ht="60" customHeight="1" x14ac:dyDescent="0.3">
      <c r="A10" s="1"/>
      <c r="B10" s="33" t="s">
        <v>64</v>
      </c>
      <c r="C10" s="25" t="s">
        <v>243</v>
      </c>
      <c r="D10" s="49" t="s">
        <v>423</v>
      </c>
      <c r="E10" s="49" t="s">
        <v>424</v>
      </c>
      <c r="F10" s="34" t="s">
        <v>287</v>
      </c>
      <c r="G10" s="21" t="s">
        <v>407</v>
      </c>
      <c r="H10" s="57" t="s">
        <v>425</v>
      </c>
      <c r="I10" s="58" t="s">
        <v>426</v>
      </c>
      <c r="J10" s="1"/>
      <c r="K10" s="1"/>
      <c r="L10" s="1"/>
      <c r="M10" s="1"/>
      <c r="N10" s="1"/>
      <c r="O10" s="1"/>
    </row>
    <row r="11" spans="1:15" ht="60" customHeight="1" x14ac:dyDescent="0.3">
      <c r="A11" s="1"/>
      <c r="B11" s="33" t="s">
        <v>69</v>
      </c>
      <c r="C11" s="25" t="s">
        <v>243</v>
      </c>
      <c r="D11" s="52" t="s">
        <v>427</v>
      </c>
      <c r="E11" s="52" t="s">
        <v>428</v>
      </c>
      <c r="F11" s="36" t="s">
        <v>291</v>
      </c>
      <c r="G11" s="21" t="s">
        <v>429</v>
      </c>
      <c r="H11" s="59" t="s">
        <v>430</v>
      </c>
      <c r="I11" s="58" t="s">
        <v>431</v>
      </c>
      <c r="J11" s="1"/>
      <c r="K11" s="1"/>
      <c r="L11" s="1"/>
      <c r="M11" s="1"/>
      <c r="N11" s="1"/>
      <c r="O11" s="1"/>
    </row>
    <row r="12" spans="1:15" ht="60" customHeight="1" x14ac:dyDescent="0.3">
      <c r="A12" s="1"/>
      <c r="B12" s="33" t="s">
        <v>75</v>
      </c>
      <c r="C12" s="25" t="s">
        <v>49</v>
      </c>
      <c r="D12" s="49" t="s">
        <v>432</v>
      </c>
      <c r="E12" s="49" t="s">
        <v>433</v>
      </c>
      <c r="F12" s="34" t="s">
        <v>296</v>
      </c>
      <c r="G12" s="21" t="s">
        <v>434</v>
      </c>
      <c r="H12" s="57" t="s">
        <v>435</v>
      </c>
      <c r="I12" s="58" t="s">
        <v>436</v>
      </c>
      <c r="J12" s="1"/>
      <c r="K12" s="1"/>
      <c r="L12" s="1"/>
      <c r="M12" s="1"/>
      <c r="N12" s="1"/>
      <c r="O12" s="1"/>
    </row>
    <row r="13" spans="1:15" ht="60" customHeight="1" x14ac:dyDescent="0.3">
      <c r="A13" s="1"/>
      <c r="B13" s="33" t="s">
        <v>80</v>
      </c>
      <c r="C13" s="25" t="s">
        <v>49</v>
      </c>
      <c r="D13" s="52" t="s">
        <v>437</v>
      </c>
      <c r="E13" s="52" t="s">
        <v>438</v>
      </c>
      <c r="F13" s="36" t="s">
        <v>9</v>
      </c>
      <c r="G13" s="21" t="s">
        <v>123</v>
      </c>
      <c r="H13" s="59" t="s">
        <v>439</v>
      </c>
      <c r="I13" s="58" t="s">
        <v>440</v>
      </c>
      <c r="J13" s="1"/>
      <c r="K13" s="1"/>
      <c r="L13" s="1"/>
      <c r="M13" s="1"/>
      <c r="N13" s="1"/>
      <c r="O13" s="1"/>
    </row>
    <row r="14" spans="1:15" ht="60" customHeight="1" x14ac:dyDescent="0.3">
      <c r="A14" s="1"/>
      <c r="B14" s="33" t="s">
        <v>86</v>
      </c>
      <c r="C14" s="25" t="s">
        <v>49</v>
      </c>
      <c r="D14" s="49" t="s">
        <v>441</v>
      </c>
      <c r="E14" s="49" t="s">
        <v>442</v>
      </c>
      <c r="F14" s="34" t="s">
        <v>305</v>
      </c>
      <c r="G14" s="21" t="s">
        <v>429</v>
      </c>
      <c r="H14" s="57" t="s">
        <v>443</v>
      </c>
      <c r="I14" s="58" t="s">
        <v>444</v>
      </c>
      <c r="J14" s="1"/>
      <c r="K14" s="1"/>
      <c r="L14" s="1"/>
      <c r="M14" s="1"/>
      <c r="N14" s="1"/>
      <c r="O14" s="1"/>
    </row>
    <row r="15" spans="1:15" ht="60" customHeight="1" x14ac:dyDescent="0.3">
      <c r="A15" s="1"/>
      <c r="B15" s="33" t="s">
        <v>87</v>
      </c>
      <c r="C15" s="21" t="s">
        <v>39</v>
      </c>
      <c r="D15" s="52" t="s">
        <v>445</v>
      </c>
      <c r="E15" s="52" t="s">
        <v>446</v>
      </c>
      <c r="F15" s="36" t="s">
        <v>310</v>
      </c>
      <c r="G15" s="21" t="s">
        <v>447</v>
      </c>
      <c r="H15" s="59" t="s">
        <v>448</v>
      </c>
      <c r="I15" s="58" t="s">
        <v>449</v>
      </c>
      <c r="J15" s="1"/>
      <c r="K15" s="1"/>
      <c r="L15" s="1"/>
      <c r="M15" s="1"/>
      <c r="N15" s="1"/>
      <c r="O15" s="1"/>
    </row>
    <row r="16" spans="1:15" ht="60" customHeight="1" x14ac:dyDescent="0.3">
      <c r="A16" s="1"/>
      <c r="B16" s="33" t="s">
        <v>88</v>
      </c>
      <c r="C16" s="25" t="s">
        <v>243</v>
      </c>
      <c r="D16" s="49" t="s">
        <v>450</v>
      </c>
      <c r="E16" s="49" t="s">
        <v>451</v>
      </c>
      <c r="F16" s="34" t="s">
        <v>315</v>
      </c>
      <c r="G16" s="21" t="s">
        <v>452</v>
      </c>
      <c r="H16" s="57" t="s">
        <v>453</v>
      </c>
      <c r="I16" s="58" t="s">
        <v>454</v>
      </c>
      <c r="J16" s="1"/>
      <c r="K16" s="1"/>
      <c r="L16" s="1"/>
      <c r="M16" s="1"/>
      <c r="N16" s="1"/>
      <c r="O16" s="1"/>
    </row>
    <row r="17" spans="1:15" ht="60" customHeight="1" x14ac:dyDescent="0.3">
      <c r="A17" s="1"/>
      <c r="B17" s="33" t="s">
        <v>89</v>
      </c>
      <c r="C17" s="21" t="s">
        <v>39</v>
      </c>
      <c r="D17" s="52" t="s">
        <v>455</v>
      </c>
      <c r="E17" s="52" t="s">
        <v>456</v>
      </c>
      <c r="F17" s="36" t="s">
        <v>9</v>
      </c>
      <c r="G17" s="21" t="s">
        <v>412</v>
      </c>
      <c r="H17" s="59" t="s">
        <v>457</v>
      </c>
      <c r="I17" s="58" t="s">
        <v>458</v>
      </c>
      <c r="J17" s="1"/>
      <c r="K17" s="1"/>
      <c r="L17" s="1"/>
      <c r="M17" s="1"/>
      <c r="N17" s="1"/>
      <c r="O17" s="1"/>
    </row>
    <row r="18" spans="1:15" ht="60" customHeight="1" x14ac:dyDescent="0.3">
      <c r="A18" s="1"/>
      <c r="B18" s="33" t="s">
        <v>320</v>
      </c>
      <c r="C18" s="17" t="s">
        <v>226</v>
      </c>
      <c r="D18" s="49" t="s">
        <v>459</v>
      </c>
      <c r="E18" s="49" t="s">
        <v>460</v>
      </c>
      <c r="F18" s="34" t="s">
        <v>42</v>
      </c>
      <c r="G18" s="21" t="s">
        <v>461</v>
      </c>
      <c r="H18" s="57" t="s">
        <v>413</v>
      </c>
      <c r="I18" s="58" t="s">
        <v>462</v>
      </c>
      <c r="J18" s="1"/>
      <c r="K18" s="1"/>
      <c r="L18" s="1"/>
      <c r="M18" s="1"/>
      <c r="N18" s="1"/>
      <c r="O18" s="1"/>
    </row>
    <row r="19" spans="1:15" ht="60" customHeight="1" x14ac:dyDescent="0.3">
      <c r="A19" s="1"/>
      <c r="B19" s="33" t="s">
        <v>326</v>
      </c>
      <c r="C19" s="17" t="s">
        <v>463</v>
      </c>
      <c r="D19" s="52" t="s">
        <v>464</v>
      </c>
      <c r="E19" s="52" t="s">
        <v>465</v>
      </c>
      <c r="F19" s="36" t="s">
        <v>331</v>
      </c>
      <c r="G19" s="21" t="s">
        <v>466</v>
      </c>
      <c r="H19" s="59" t="s">
        <v>467</v>
      </c>
      <c r="I19" s="58" t="s">
        <v>468</v>
      </c>
      <c r="J19" s="1"/>
      <c r="K19" s="1"/>
      <c r="L19" s="1"/>
      <c r="M19" s="1"/>
      <c r="N19" s="1"/>
      <c r="O19" s="1"/>
    </row>
    <row r="20" spans="1:15" ht="60" customHeight="1" x14ac:dyDescent="0.3">
      <c r="A20" s="1"/>
      <c r="B20" s="33" t="s">
        <v>332</v>
      </c>
      <c r="C20" s="17" t="s">
        <v>463</v>
      </c>
      <c r="D20" s="49" t="s">
        <v>469</v>
      </c>
      <c r="E20" s="49" t="s">
        <v>470</v>
      </c>
      <c r="F20" s="34" t="s">
        <v>85</v>
      </c>
      <c r="G20" s="21" t="s">
        <v>134</v>
      </c>
      <c r="H20" s="57" t="s">
        <v>467</v>
      </c>
      <c r="I20" s="58" t="s">
        <v>471</v>
      </c>
      <c r="J20" s="1"/>
      <c r="K20" s="1"/>
      <c r="L20" s="1"/>
      <c r="M20" s="1"/>
      <c r="N20" s="1"/>
      <c r="O20" s="1"/>
    </row>
    <row r="21" spans="1:15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</sheetData>
  <mergeCells count="2">
    <mergeCell ref="B3:I3"/>
    <mergeCell ref="B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4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8" width="14" customWidth="1"/>
    <col min="9" max="9" width="2" customWidth="1"/>
  </cols>
  <sheetData>
    <row r="1" spans="1:1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40.049999999999997" customHeight="1" x14ac:dyDescent="0.3">
      <c r="A2" s="1"/>
      <c r="B2" s="95" t="s">
        <v>472</v>
      </c>
      <c r="C2" s="90"/>
      <c r="D2" s="90"/>
      <c r="E2" s="90"/>
      <c r="F2" s="90"/>
      <c r="G2" s="90"/>
      <c r="H2" s="91"/>
      <c r="I2" s="1"/>
      <c r="J2" s="1"/>
      <c r="K2" s="1"/>
      <c r="L2" s="1"/>
      <c r="M2" s="1"/>
      <c r="N2" s="1"/>
      <c r="O2" s="1"/>
    </row>
    <row r="3" spans="1:15" ht="24" customHeight="1" x14ac:dyDescent="0.3">
      <c r="A3" s="1"/>
      <c r="B3" s="104" t="s">
        <v>473</v>
      </c>
      <c r="C3" s="90"/>
      <c r="D3" s="90"/>
      <c r="E3" s="90"/>
      <c r="F3" s="90"/>
      <c r="G3" s="90"/>
      <c r="H3" s="91"/>
      <c r="I3" s="1"/>
      <c r="J3" s="1"/>
      <c r="K3" s="1"/>
      <c r="L3" s="1"/>
      <c r="M3" s="1"/>
      <c r="N3" s="1"/>
      <c r="O3" s="1"/>
    </row>
    <row r="4" spans="1:15" ht="10.05000000000000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5.95" customHeight="1" x14ac:dyDescent="0.3">
      <c r="A5" s="1"/>
      <c r="B5" s="89" t="s">
        <v>474</v>
      </c>
      <c r="C5" s="90"/>
      <c r="D5" s="90"/>
      <c r="E5" s="90"/>
      <c r="F5" s="90"/>
      <c r="G5" s="90"/>
      <c r="H5" s="91"/>
      <c r="I5" s="1"/>
      <c r="J5" s="1"/>
      <c r="K5" s="1"/>
      <c r="L5" s="1"/>
      <c r="M5" s="1"/>
      <c r="N5" s="1"/>
      <c r="O5" s="1"/>
    </row>
    <row r="6" spans="1:15" ht="22.05" customHeight="1" x14ac:dyDescent="0.3">
      <c r="A6" s="1"/>
      <c r="B6" s="33" t="s">
        <v>475</v>
      </c>
      <c r="C6" s="33" t="s">
        <v>476</v>
      </c>
      <c r="D6" s="33" t="s">
        <v>477</v>
      </c>
      <c r="E6" s="33" t="s">
        <v>478</v>
      </c>
      <c r="F6" s="33" t="s">
        <v>479</v>
      </c>
      <c r="G6" s="33" t="s">
        <v>480</v>
      </c>
      <c r="H6" s="33" t="s">
        <v>481</v>
      </c>
      <c r="I6" s="1"/>
      <c r="J6" s="1"/>
      <c r="K6" s="1"/>
      <c r="L6" s="1"/>
      <c r="M6" s="1"/>
      <c r="N6" s="1"/>
      <c r="O6" s="1"/>
    </row>
    <row r="7" spans="1:15" ht="36" customHeight="1" x14ac:dyDescent="0.3">
      <c r="A7" s="1"/>
      <c r="B7" s="60">
        <f>COUNTA('REGISTRO DE RIESGOS'!B7:B21)</f>
        <v>15</v>
      </c>
      <c r="C7" s="61">
        <f>COUNTIF('REGISTRO DE RIESGOS'!J7:J21,"CRITICO")</f>
        <v>5</v>
      </c>
      <c r="D7" s="62">
        <f>COUNTIF('REGISTRO DE RIESGOS'!J7:J21,"ALTO")</f>
        <v>9</v>
      </c>
      <c r="E7" s="63">
        <f>COUNTIF('REGISTRO DE RIESGOS'!J7:J21,"MEDIO")</f>
        <v>1</v>
      </c>
      <c r="F7" s="64">
        <f>COUNTIF('REGISTRO DE RIESGOS'!J7:J21,"BAJO")</f>
        <v>0</v>
      </c>
      <c r="G7" s="64">
        <f>COUNTIF('REGISTRO DE RIESGOS'!K7:K21,"Oportunidad")</f>
        <v>2</v>
      </c>
      <c r="H7" s="61">
        <f>COUNTIF('REGISTRO DE RIESGOS'!K7:K21,"Amenaza")</f>
        <v>13</v>
      </c>
      <c r="I7" s="1"/>
      <c r="J7" s="1"/>
      <c r="K7" s="1"/>
      <c r="L7" s="1"/>
      <c r="M7" s="1"/>
      <c r="N7" s="1"/>
      <c r="O7" s="1"/>
    </row>
    <row r="8" spans="1:15" ht="10.050000000000001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5.95" customHeight="1" x14ac:dyDescent="0.3">
      <c r="A9" s="1"/>
      <c r="B9" s="89" t="s">
        <v>482</v>
      </c>
      <c r="C9" s="90"/>
      <c r="D9" s="90"/>
      <c r="E9" s="90"/>
      <c r="F9" s="90"/>
      <c r="G9" s="90"/>
      <c r="H9" s="91"/>
      <c r="I9" s="1"/>
      <c r="J9" s="1"/>
      <c r="K9" s="1"/>
      <c r="L9" s="1"/>
      <c r="M9" s="1"/>
      <c r="N9" s="1"/>
      <c r="O9" s="1"/>
    </row>
    <row r="10" spans="1:15" ht="30" customHeight="1" x14ac:dyDescent="0.3">
      <c r="A10" s="1"/>
      <c r="B10" s="32" t="s">
        <v>21</v>
      </c>
      <c r="C10" s="32" t="s">
        <v>483</v>
      </c>
      <c r="D10" s="32" t="s">
        <v>484</v>
      </c>
      <c r="E10" s="32" t="s">
        <v>485</v>
      </c>
      <c r="F10" s="32" t="s">
        <v>486</v>
      </c>
      <c r="G10" s="32" t="s">
        <v>487</v>
      </c>
      <c r="H10" s="32" t="s">
        <v>488</v>
      </c>
      <c r="I10" s="1"/>
      <c r="J10" s="1"/>
      <c r="K10" s="1"/>
      <c r="L10" s="1"/>
      <c r="M10" s="1"/>
      <c r="N10" s="1"/>
      <c r="O10" s="1"/>
    </row>
    <row r="11" spans="1:15" ht="43.95" customHeight="1" x14ac:dyDescent="0.3">
      <c r="A11" s="1"/>
      <c r="B11" s="33" t="s">
        <v>34</v>
      </c>
      <c r="C11" s="44" t="s">
        <v>489</v>
      </c>
      <c r="D11" s="49" t="s">
        <v>490</v>
      </c>
      <c r="E11" s="65" t="s">
        <v>491</v>
      </c>
      <c r="F11" s="66" t="s">
        <v>492</v>
      </c>
      <c r="G11" s="67" t="s">
        <v>493</v>
      </c>
      <c r="H11" s="28" t="s">
        <v>494</v>
      </c>
      <c r="I11" s="1"/>
      <c r="J11" s="1"/>
      <c r="K11" s="1"/>
      <c r="L11" s="1"/>
      <c r="M11" s="1"/>
      <c r="N11" s="1"/>
      <c r="O11" s="1"/>
    </row>
    <row r="12" spans="1:15" ht="43.95" customHeight="1" x14ac:dyDescent="0.3">
      <c r="A12" s="1"/>
      <c r="B12" s="33" t="s">
        <v>44</v>
      </c>
      <c r="C12" s="44" t="s">
        <v>495</v>
      </c>
      <c r="D12" s="52" t="s">
        <v>496</v>
      </c>
      <c r="E12" s="68" t="s">
        <v>497</v>
      </c>
      <c r="F12" s="69" t="s">
        <v>498</v>
      </c>
      <c r="G12" s="67" t="s">
        <v>499</v>
      </c>
      <c r="H12" s="27" t="s">
        <v>500</v>
      </c>
      <c r="I12" s="1"/>
      <c r="J12" s="1"/>
      <c r="K12" s="1"/>
      <c r="L12" s="1"/>
      <c r="M12" s="1"/>
      <c r="N12" s="1"/>
      <c r="O12" s="1"/>
    </row>
    <row r="13" spans="1:15" ht="43.95" customHeight="1" x14ac:dyDescent="0.3">
      <c r="A13" s="1"/>
      <c r="B13" s="33" t="s">
        <v>52</v>
      </c>
      <c r="C13" s="44" t="s">
        <v>501</v>
      </c>
      <c r="D13" s="49" t="s">
        <v>502</v>
      </c>
      <c r="E13" s="65" t="s">
        <v>491</v>
      </c>
      <c r="F13" s="66" t="s">
        <v>503</v>
      </c>
      <c r="G13" s="67" t="s">
        <v>504</v>
      </c>
      <c r="H13" s="28" t="s">
        <v>494</v>
      </c>
      <c r="I13" s="1"/>
      <c r="J13" s="1"/>
      <c r="K13" s="1"/>
      <c r="L13" s="1"/>
      <c r="M13" s="1"/>
      <c r="N13" s="1"/>
      <c r="O13" s="1"/>
    </row>
    <row r="14" spans="1:15" ht="43.95" customHeight="1" x14ac:dyDescent="0.3">
      <c r="A14" s="1"/>
      <c r="B14" s="33" t="s">
        <v>58</v>
      </c>
      <c r="C14" s="44" t="s">
        <v>489</v>
      </c>
      <c r="D14" s="52" t="s">
        <v>505</v>
      </c>
      <c r="E14" s="68" t="s">
        <v>497</v>
      </c>
      <c r="F14" s="69" t="s">
        <v>506</v>
      </c>
      <c r="G14" s="67" t="s">
        <v>507</v>
      </c>
      <c r="H14" s="27" t="s">
        <v>500</v>
      </c>
      <c r="I14" s="1"/>
      <c r="J14" s="1"/>
      <c r="K14" s="1"/>
      <c r="L14" s="1"/>
      <c r="M14" s="1"/>
      <c r="N14" s="1"/>
      <c r="O14" s="1"/>
    </row>
    <row r="15" spans="1:15" ht="43.95" customHeight="1" x14ac:dyDescent="0.3">
      <c r="A15" s="1"/>
      <c r="B15" s="33" t="s">
        <v>64</v>
      </c>
      <c r="C15" s="44" t="s">
        <v>508</v>
      </c>
      <c r="D15" s="49" t="s">
        <v>509</v>
      </c>
      <c r="E15" s="65" t="s">
        <v>491</v>
      </c>
      <c r="F15" s="66" t="s">
        <v>510</v>
      </c>
      <c r="G15" s="67" t="s">
        <v>511</v>
      </c>
      <c r="H15" s="28" t="s">
        <v>494</v>
      </c>
      <c r="I15" s="1"/>
      <c r="J15" s="1"/>
      <c r="K15" s="1"/>
      <c r="L15" s="1"/>
      <c r="M15" s="1"/>
      <c r="N15" s="1"/>
      <c r="O15" s="1"/>
    </row>
    <row r="16" spans="1:15" ht="43.95" customHeight="1" x14ac:dyDescent="0.3">
      <c r="A16" s="1"/>
      <c r="B16" s="33" t="s">
        <v>69</v>
      </c>
      <c r="C16" s="44" t="s">
        <v>508</v>
      </c>
      <c r="D16" s="52" t="s">
        <v>512</v>
      </c>
      <c r="E16" s="68" t="s">
        <v>497</v>
      </c>
      <c r="F16" s="69" t="s">
        <v>513</v>
      </c>
      <c r="G16" s="67" t="s">
        <v>514</v>
      </c>
      <c r="H16" s="27" t="s">
        <v>500</v>
      </c>
      <c r="I16" s="1"/>
      <c r="J16" s="1"/>
      <c r="K16" s="1"/>
      <c r="L16" s="1"/>
      <c r="M16" s="1"/>
      <c r="N16" s="1"/>
      <c r="O16" s="1"/>
    </row>
    <row r="17" spans="1:15" ht="43.95" customHeight="1" x14ac:dyDescent="0.3">
      <c r="A17" s="1"/>
      <c r="B17" s="33" t="s">
        <v>75</v>
      </c>
      <c r="C17" s="44" t="s">
        <v>495</v>
      </c>
      <c r="D17" s="49" t="s">
        <v>515</v>
      </c>
      <c r="E17" s="65" t="s">
        <v>491</v>
      </c>
      <c r="F17" s="66" t="s">
        <v>516</v>
      </c>
      <c r="G17" s="67" t="s">
        <v>517</v>
      </c>
      <c r="H17" s="28" t="s">
        <v>494</v>
      </c>
      <c r="I17" s="1"/>
      <c r="J17" s="1"/>
      <c r="K17" s="1"/>
      <c r="L17" s="1"/>
      <c r="M17" s="1"/>
      <c r="N17" s="1"/>
      <c r="O17" s="1"/>
    </row>
    <row r="18" spans="1:15" ht="43.95" customHeight="1" x14ac:dyDescent="0.3">
      <c r="A18" s="1"/>
      <c r="B18" s="33" t="s">
        <v>86</v>
      </c>
      <c r="C18" s="44" t="s">
        <v>518</v>
      </c>
      <c r="D18" s="52" t="s">
        <v>519</v>
      </c>
      <c r="E18" s="70" t="s">
        <v>520</v>
      </c>
      <c r="F18" s="69" t="s">
        <v>521</v>
      </c>
      <c r="G18" s="67" t="s">
        <v>522</v>
      </c>
      <c r="H18" s="30" t="s">
        <v>523</v>
      </c>
      <c r="I18" s="1"/>
      <c r="J18" s="1"/>
      <c r="K18" s="1"/>
      <c r="L18" s="1"/>
      <c r="M18" s="1"/>
      <c r="N18" s="1"/>
      <c r="O18" s="1"/>
    </row>
    <row r="19" spans="1:15" ht="43.95" customHeight="1" x14ac:dyDescent="0.3">
      <c r="A19" s="1"/>
      <c r="B19" s="33" t="s">
        <v>88</v>
      </c>
      <c r="C19" s="44" t="s">
        <v>501</v>
      </c>
      <c r="D19" s="49" t="s">
        <v>524</v>
      </c>
      <c r="E19" s="65" t="s">
        <v>491</v>
      </c>
      <c r="F19" s="66" t="s">
        <v>525</v>
      </c>
      <c r="G19" s="67" t="s">
        <v>526</v>
      </c>
      <c r="H19" s="28" t="s">
        <v>494</v>
      </c>
      <c r="I19" s="1"/>
      <c r="J19" s="1"/>
      <c r="K19" s="1"/>
      <c r="L19" s="1"/>
      <c r="M19" s="1"/>
      <c r="N19" s="1"/>
      <c r="O19" s="1"/>
    </row>
    <row r="20" spans="1:15" ht="10.050000000000001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5.95" customHeight="1" x14ac:dyDescent="0.3">
      <c r="A22" s="1"/>
      <c r="B22" s="89" t="s">
        <v>527</v>
      </c>
      <c r="C22" s="90"/>
      <c r="D22" s="90"/>
      <c r="E22" s="90"/>
      <c r="F22" s="90"/>
      <c r="G22" s="90"/>
      <c r="H22" s="91"/>
      <c r="I22" s="1"/>
      <c r="J22" s="1"/>
      <c r="K22" s="1"/>
      <c r="L22" s="1"/>
      <c r="M22" s="1"/>
      <c r="N22" s="1"/>
      <c r="O22" s="1"/>
    </row>
    <row r="23" spans="1:15" ht="22.05" customHeight="1" x14ac:dyDescent="0.3">
      <c r="A23" s="1"/>
      <c r="B23" s="19" t="s">
        <v>29</v>
      </c>
      <c r="C23" s="71" t="s">
        <v>528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2.05" customHeight="1" x14ac:dyDescent="0.3">
      <c r="A24" s="1"/>
      <c r="B24" s="19" t="s">
        <v>243</v>
      </c>
      <c r="C24" s="71">
        <v>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2.05" customHeight="1" x14ac:dyDescent="0.3">
      <c r="A25" s="1"/>
      <c r="B25" s="19" t="s">
        <v>49</v>
      </c>
      <c r="C25" s="71">
        <v>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2.05" customHeight="1" x14ac:dyDescent="0.3">
      <c r="A26" s="1"/>
      <c r="B26" s="19" t="s">
        <v>39</v>
      </c>
      <c r="C26" s="71">
        <v>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2.05" customHeight="1" x14ac:dyDescent="0.3">
      <c r="A27" s="1"/>
      <c r="B27" s="19" t="s">
        <v>226</v>
      </c>
      <c r="C27" s="71">
        <v>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</sheetData>
  <mergeCells count="5">
    <mergeCell ref="B22:H22"/>
    <mergeCell ref="B9:H9"/>
    <mergeCell ref="B2:H2"/>
    <mergeCell ref="B3:H3"/>
    <mergeCell ref="B5:H5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89"/>
  <sheetViews>
    <sheetView showGridLines="0" tabSelected="1" topLeftCell="A30" zoomScale="80" zoomScaleNormal="80" workbookViewId="0">
      <selection activeCell="L24" sqref="L24"/>
    </sheetView>
  </sheetViews>
  <sheetFormatPr baseColWidth="10" defaultColWidth="8.88671875" defaultRowHeight="14.4" x14ac:dyDescent="0.3"/>
  <cols>
    <col min="1" max="1" width="2" customWidth="1"/>
    <col min="2" max="2" width="14.88671875" bestFit="1" customWidth="1"/>
    <col min="3" max="3" width="13" customWidth="1"/>
    <col min="4" max="4" width="28" customWidth="1"/>
    <col min="5" max="6" width="24" customWidth="1"/>
    <col min="7" max="8" width="6" customWidth="1"/>
    <col min="9" max="9" width="16.21875" bestFit="1" customWidth="1"/>
    <col min="10" max="11" width="11" customWidth="1"/>
    <col min="12" max="12" width="14" customWidth="1"/>
    <col min="13" max="13" width="18" customWidth="1"/>
    <col min="14" max="14" width="12" customWidth="1"/>
    <col min="15" max="15" width="2" customWidth="1"/>
  </cols>
  <sheetData>
    <row r="1" spans="1:1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40.049999999999997" customHeight="1" x14ac:dyDescent="0.3">
      <c r="A2" s="1"/>
      <c r="B2" s="95" t="s">
        <v>0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1"/>
      <c r="O2" s="1"/>
    </row>
    <row r="3" spans="1:15" ht="43.95" customHeight="1" x14ac:dyDescent="0.3">
      <c r="A3" s="1"/>
      <c r="B3" s="93" t="s">
        <v>1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6"/>
      <c r="O3" s="1"/>
    </row>
    <row r="4" spans="1:15" ht="10.05000000000000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5.95" customHeight="1" x14ac:dyDescent="0.3">
      <c r="A5" s="1"/>
      <c r="B5" s="89" t="s">
        <v>2</v>
      </c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1"/>
      <c r="O5" s="1"/>
    </row>
    <row r="6" spans="1:15" ht="28.05" customHeight="1" x14ac:dyDescent="0.3">
      <c r="A6" s="1"/>
      <c r="B6" s="72" t="s">
        <v>3</v>
      </c>
      <c r="C6" s="87" t="s">
        <v>4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6"/>
      <c r="O6" s="1"/>
    </row>
    <row r="7" spans="1:15" ht="28.05" customHeight="1" x14ac:dyDescent="0.3">
      <c r="A7" s="1"/>
      <c r="B7" s="72" t="s">
        <v>5</v>
      </c>
      <c r="C7" s="87" t="s">
        <v>6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6"/>
      <c r="O7" s="1"/>
    </row>
    <row r="8" spans="1:15" ht="28.05" customHeight="1" x14ac:dyDescent="0.3">
      <c r="A8" s="1"/>
      <c r="B8" s="72" t="s">
        <v>7</v>
      </c>
      <c r="C8" s="87" t="s">
        <v>8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6"/>
      <c r="O8" s="1"/>
    </row>
    <row r="9" spans="1:15" ht="28.05" customHeight="1" x14ac:dyDescent="0.3">
      <c r="A9" s="1"/>
      <c r="B9" s="72" t="s">
        <v>9</v>
      </c>
      <c r="C9" s="87" t="s">
        <v>10</v>
      </c>
      <c r="D9" s="85"/>
      <c r="E9" s="85"/>
      <c r="F9" s="85"/>
      <c r="G9" s="85"/>
      <c r="H9" s="85"/>
      <c r="I9" s="85"/>
      <c r="J9" s="85"/>
      <c r="K9" s="85"/>
      <c r="L9" s="85"/>
      <c r="M9" s="85"/>
      <c r="N9" s="86"/>
      <c r="O9" s="1"/>
    </row>
    <row r="10" spans="1:15" ht="28.05" customHeight="1" x14ac:dyDescent="0.3">
      <c r="A10" s="1"/>
      <c r="B10" s="72" t="s">
        <v>11</v>
      </c>
      <c r="C10" s="87" t="s">
        <v>12</v>
      </c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6"/>
      <c r="O10" s="1"/>
    </row>
    <row r="11" spans="1:15" ht="28.05" customHeight="1" x14ac:dyDescent="0.3">
      <c r="A11" s="1"/>
      <c r="B11" s="72" t="s">
        <v>13</v>
      </c>
      <c r="C11" s="87" t="s">
        <v>14</v>
      </c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6"/>
      <c r="O11" s="1"/>
    </row>
    <row r="12" spans="1:15" ht="28.05" customHeight="1" x14ac:dyDescent="0.3">
      <c r="A12" s="1"/>
      <c r="B12" s="72" t="s">
        <v>15</v>
      </c>
      <c r="C12" s="87" t="s">
        <v>16</v>
      </c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6"/>
      <c r="O12" s="1"/>
    </row>
    <row r="13" spans="1:15" ht="28.05" customHeight="1" x14ac:dyDescent="0.3">
      <c r="A13" s="1"/>
      <c r="B13" s="72" t="s">
        <v>17</v>
      </c>
      <c r="C13" s="87" t="s">
        <v>18</v>
      </c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6"/>
      <c r="O13" s="1"/>
    </row>
    <row r="14" spans="1:15" ht="10.050000000000001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5.95" customHeight="1" x14ac:dyDescent="0.3">
      <c r="A15" s="1"/>
      <c r="B15" s="89" t="s">
        <v>19</v>
      </c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1"/>
      <c r="O15" s="1"/>
    </row>
    <row r="16" spans="1:15" ht="34.049999999999997" customHeight="1" x14ac:dyDescent="0.3">
      <c r="A16" s="1"/>
      <c r="B16" s="93" t="s">
        <v>20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6"/>
      <c r="O16" s="1"/>
    </row>
    <row r="17" spans="1:15" ht="34.049999999999997" customHeight="1" x14ac:dyDescent="0.3">
      <c r="A17" s="1"/>
      <c r="B17" s="32" t="s">
        <v>21</v>
      </c>
      <c r="C17" s="32" t="s">
        <v>22</v>
      </c>
      <c r="D17" s="32" t="s">
        <v>23</v>
      </c>
      <c r="E17" s="32" t="s">
        <v>24</v>
      </c>
      <c r="F17" s="32" t="s">
        <v>25</v>
      </c>
      <c r="G17" s="32" t="s">
        <v>26</v>
      </c>
      <c r="H17" s="32" t="s">
        <v>27</v>
      </c>
      <c r="I17" s="32" t="s">
        <v>28</v>
      </c>
      <c r="J17" s="32" t="s">
        <v>29</v>
      </c>
      <c r="K17" s="32" t="s">
        <v>30</v>
      </c>
      <c r="L17" s="32" t="s">
        <v>31</v>
      </c>
      <c r="M17" s="32" t="s">
        <v>32</v>
      </c>
      <c r="N17" s="32" t="s">
        <v>33</v>
      </c>
      <c r="O17" s="1"/>
    </row>
    <row r="18" spans="1:15" ht="49.95" customHeight="1" x14ac:dyDescent="0.3">
      <c r="A18" s="1"/>
      <c r="B18" s="79" t="s">
        <v>34</v>
      </c>
      <c r="C18" s="80" t="s">
        <v>35</v>
      </c>
      <c r="D18" s="80" t="s">
        <v>36</v>
      </c>
      <c r="E18" s="80" t="s">
        <v>37</v>
      </c>
      <c r="F18" s="80" t="s">
        <v>38</v>
      </c>
      <c r="G18" s="80">
        <v>2</v>
      </c>
      <c r="H18" s="80">
        <v>4</v>
      </c>
      <c r="I18" s="81">
        <v>8</v>
      </c>
      <c r="J18" s="82" t="s">
        <v>39</v>
      </c>
      <c r="K18" s="80" t="s">
        <v>40</v>
      </c>
      <c r="L18" s="80" t="s">
        <v>41</v>
      </c>
      <c r="M18" s="80" t="s">
        <v>42</v>
      </c>
      <c r="N18" s="80" t="s">
        <v>43</v>
      </c>
      <c r="O18" s="1"/>
    </row>
    <row r="19" spans="1:15" ht="49.95" customHeight="1" x14ac:dyDescent="0.3">
      <c r="A19" s="1"/>
      <c r="B19" s="79" t="s">
        <v>44</v>
      </c>
      <c r="C19" s="78" t="s">
        <v>45</v>
      </c>
      <c r="D19" s="78" t="s">
        <v>46</v>
      </c>
      <c r="E19" s="78" t="s">
        <v>47</v>
      </c>
      <c r="F19" s="78" t="s">
        <v>48</v>
      </c>
      <c r="G19" s="78">
        <v>1</v>
      </c>
      <c r="H19" s="78">
        <v>5</v>
      </c>
      <c r="I19" s="83">
        <v>5</v>
      </c>
      <c r="J19" s="83" t="s">
        <v>39</v>
      </c>
      <c r="K19" s="78" t="s">
        <v>40</v>
      </c>
      <c r="L19" s="78" t="s">
        <v>50</v>
      </c>
      <c r="M19" s="78" t="s">
        <v>51</v>
      </c>
      <c r="N19" s="78" t="s">
        <v>43</v>
      </c>
      <c r="O19" s="1"/>
    </row>
    <row r="20" spans="1:15" ht="49.95" customHeight="1" x14ac:dyDescent="0.3">
      <c r="A20" s="1"/>
      <c r="B20" s="79" t="s">
        <v>52</v>
      </c>
      <c r="C20" s="80" t="s">
        <v>53</v>
      </c>
      <c r="D20" s="80" t="s">
        <v>54</v>
      </c>
      <c r="E20" s="80" t="s">
        <v>55</v>
      </c>
      <c r="F20" s="80" t="s">
        <v>56</v>
      </c>
      <c r="G20" s="80">
        <v>3</v>
      </c>
      <c r="H20" s="80">
        <v>3</v>
      </c>
      <c r="I20" s="81">
        <v>9</v>
      </c>
      <c r="J20" s="82" t="s">
        <v>39</v>
      </c>
      <c r="K20" s="80" t="s">
        <v>40</v>
      </c>
      <c r="L20" s="80" t="s">
        <v>41</v>
      </c>
      <c r="M20" s="80" t="s">
        <v>57</v>
      </c>
      <c r="N20" s="80" t="s">
        <v>43</v>
      </c>
      <c r="O20" s="1"/>
    </row>
    <row r="21" spans="1:15" ht="49.95" customHeight="1" x14ac:dyDescent="0.3">
      <c r="A21" s="1"/>
      <c r="B21" s="79" t="s">
        <v>58</v>
      </c>
      <c r="C21" s="78" t="s">
        <v>59</v>
      </c>
      <c r="D21" s="78" t="s">
        <v>60</v>
      </c>
      <c r="E21" s="78" t="s">
        <v>61</v>
      </c>
      <c r="F21" s="78" t="s">
        <v>62</v>
      </c>
      <c r="G21" s="78">
        <v>3</v>
      </c>
      <c r="H21" s="78">
        <v>4</v>
      </c>
      <c r="I21" s="83">
        <v>12</v>
      </c>
      <c r="J21" s="83" t="s">
        <v>49</v>
      </c>
      <c r="K21" s="78" t="s">
        <v>40</v>
      </c>
      <c r="L21" s="78" t="s">
        <v>41</v>
      </c>
      <c r="M21" s="78" t="s">
        <v>63</v>
      </c>
      <c r="N21" s="78" t="s">
        <v>43</v>
      </c>
      <c r="O21" s="1"/>
    </row>
    <row r="22" spans="1:15" ht="49.95" customHeight="1" x14ac:dyDescent="0.3">
      <c r="A22" s="1"/>
      <c r="B22" s="79" t="s">
        <v>64</v>
      </c>
      <c r="C22" s="80" t="s">
        <v>35</v>
      </c>
      <c r="D22" s="80" t="s">
        <v>65</v>
      </c>
      <c r="E22" s="80" t="s">
        <v>66</v>
      </c>
      <c r="F22" s="80" t="s">
        <v>67</v>
      </c>
      <c r="G22" s="80">
        <v>2</v>
      </c>
      <c r="H22" s="80">
        <v>4</v>
      </c>
      <c r="I22" s="81">
        <v>8</v>
      </c>
      <c r="J22" s="82" t="s">
        <v>39</v>
      </c>
      <c r="K22" s="80" t="s">
        <v>40</v>
      </c>
      <c r="L22" s="80" t="s">
        <v>41</v>
      </c>
      <c r="M22" s="80" t="s">
        <v>68</v>
      </c>
      <c r="N22" s="80" t="s">
        <v>43</v>
      </c>
      <c r="O22" s="1"/>
    </row>
    <row r="23" spans="1:15" ht="49.95" customHeight="1" x14ac:dyDescent="0.3">
      <c r="A23" s="1"/>
      <c r="B23" s="79" t="s">
        <v>69</v>
      </c>
      <c r="C23" s="78" t="s">
        <v>70</v>
      </c>
      <c r="D23" s="78" t="s">
        <v>71</v>
      </c>
      <c r="E23" s="78" t="s">
        <v>72</v>
      </c>
      <c r="F23" s="78" t="s">
        <v>73</v>
      </c>
      <c r="G23" s="78">
        <v>2</v>
      </c>
      <c r="H23" s="78">
        <v>5</v>
      </c>
      <c r="I23" s="83">
        <v>10</v>
      </c>
      <c r="J23" s="83" t="s">
        <v>49</v>
      </c>
      <c r="K23" s="78" t="s">
        <v>40</v>
      </c>
      <c r="L23" s="78" t="s">
        <v>50</v>
      </c>
      <c r="M23" s="78" t="s">
        <v>74</v>
      </c>
      <c r="N23" s="78" t="s">
        <v>43</v>
      </c>
      <c r="O23" s="1"/>
    </row>
    <row r="24" spans="1:15" ht="49.95" customHeight="1" x14ac:dyDescent="0.3">
      <c r="A24" s="1"/>
      <c r="B24" s="79" t="s">
        <v>75</v>
      </c>
      <c r="C24" s="80" t="s">
        <v>76</v>
      </c>
      <c r="D24" s="80" t="s">
        <v>77</v>
      </c>
      <c r="E24" s="80" t="s">
        <v>78</v>
      </c>
      <c r="F24" s="80" t="s">
        <v>79</v>
      </c>
      <c r="G24" s="80">
        <v>2</v>
      </c>
      <c r="H24" s="80">
        <v>5</v>
      </c>
      <c r="I24" s="81">
        <v>10</v>
      </c>
      <c r="J24" s="82" t="s">
        <v>49</v>
      </c>
      <c r="K24" s="80" t="s">
        <v>40</v>
      </c>
      <c r="L24" s="80" t="s">
        <v>529</v>
      </c>
      <c r="M24" s="80" t="s">
        <v>42</v>
      </c>
      <c r="N24" s="80" t="s">
        <v>43</v>
      </c>
      <c r="O24" s="1"/>
    </row>
    <row r="25" spans="1:15" ht="49.95" customHeight="1" x14ac:dyDescent="0.3">
      <c r="A25" s="1"/>
      <c r="B25" s="79" t="s">
        <v>80</v>
      </c>
      <c r="C25" s="78" t="s">
        <v>81</v>
      </c>
      <c r="D25" s="78" t="s">
        <v>82</v>
      </c>
      <c r="E25" s="78" t="s">
        <v>83</v>
      </c>
      <c r="F25" s="78" t="s">
        <v>84</v>
      </c>
      <c r="G25" s="78">
        <v>3</v>
      </c>
      <c r="H25" s="78">
        <v>3</v>
      </c>
      <c r="I25" s="83">
        <v>9</v>
      </c>
      <c r="J25" s="83" t="s">
        <v>39</v>
      </c>
      <c r="K25" s="78" t="s">
        <v>40</v>
      </c>
      <c r="L25" s="78" t="s">
        <v>41</v>
      </c>
      <c r="M25" s="78" t="s">
        <v>85</v>
      </c>
      <c r="N25" s="78" t="s">
        <v>43</v>
      </c>
      <c r="O25" s="1"/>
    </row>
    <row r="26" spans="1:15" ht="57.6" customHeight="1" x14ac:dyDescent="0.3">
      <c r="A26" s="1"/>
      <c r="B26" s="33" t="s">
        <v>86</v>
      </c>
      <c r="C26" s="80"/>
      <c r="D26" s="80"/>
      <c r="E26" s="80"/>
      <c r="F26" s="80"/>
      <c r="G26" s="80"/>
      <c r="H26" s="80"/>
      <c r="I26" s="81"/>
      <c r="J26" s="82"/>
      <c r="K26" s="80"/>
      <c r="L26" s="80"/>
      <c r="M26" s="80"/>
      <c r="N26" s="80"/>
      <c r="O26" s="1"/>
    </row>
    <row r="27" spans="1:15" ht="49.95" customHeight="1" x14ac:dyDescent="0.3">
      <c r="A27" s="1"/>
      <c r="B27" s="33" t="s">
        <v>87</v>
      </c>
      <c r="C27" s="78"/>
      <c r="D27" s="78"/>
      <c r="E27" s="78"/>
      <c r="F27" s="78"/>
      <c r="G27" s="78"/>
      <c r="H27" s="78"/>
      <c r="I27" s="83"/>
      <c r="J27" s="83"/>
      <c r="K27" s="78"/>
      <c r="L27" s="78"/>
      <c r="M27" s="78"/>
      <c r="N27" s="78"/>
      <c r="O27" s="1"/>
    </row>
    <row r="28" spans="1:15" ht="49.95" customHeight="1" x14ac:dyDescent="0.3">
      <c r="A28" s="1"/>
      <c r="B28" s="33" t="s">
        <v>88</v>
      </c>
      <c r="C28" s="80"/>
      <c r="D28" s="80"/>
      <c r="E28" s="80"/>
      <c r="F28" s="80"/>
      <c r="G28" s="80"/>
      <c r="H28" s="80"/>
      <c r="I28" s="81"/>
      <c r="J28" s="82"/>
      <c r="K28" s="80"/>
      <c r="L28" s="80"/>
      <c r="M28" s="80"/>
      <c r="N28" s="80"/>
      <c r="O28" s="1"/>
    </row>
    <row r="29" spans="1:15" ht="49.95" customHeight="1" x14ac:dyDescent="0.3">
      <c r="A29" s="1"/>
      <c r="B29" s="33" t="s">
        <v>89</v>
      </c>
      <c r="C29" s="78"/>
      <c r="D29" s="78"/>
      <c r="E29" s="78"/>
      <c r="F29" s="78"/>
      <c r="G29" s="78"/>
      <c r="H29" s="78"/>
      <c r="I29" s="83"/>
      <c r="J29" s="83"/>
      <c r="K29" s="78"/>
      <c r="L29" s="78"/>
      <c r="M29" s="78"/>
      <c r="N29" s="78"/>
      <c r="O29" s="1"/>
    </row>
    <row r="30" spans="1:15" ht="10.050000000000001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5.95" customHeight="1" x14ac:dyDescent="0.3">
      <c r="A31" s="1"/>
      <c r="B31" s="89" t="s">
        <v>90</v>
      </c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1"/>
      <c r="O31" s="1"/>
    </row>
    <row r="32" spans="1:15" ht="36" customHeight="1" x14ac:dyDescent="0.3">
      <c r="A32" s="1"/>
      <c r="B32" s="32" t="s">
        <v>21</v>
      </c>
      <c r="C32" s="32" t="s">
        <v>29</v>
      </c>
      <c r="D32" s="32" t="s">
        <v>91</v>
      </c>
      <c r="E32" s="32" t="s">
        <v>92</v>
      </c>
      <c r="F32" s="32" t="s">
        <v>93</v>
      </c>
      <c r="G32" s="32" t="s">
        <v>94</v>
      </c>
      <c r="H32" s="32" t="s">
        <v>95</v>
      </c>
      <c r="I32" s="32" t="s">
        <v>96</v>
      </c>
      <c r="J32" s="1"/>
      <c r="K32" s="1"/>
      <c r="L32" s="1"/>
      <c r="M32" s="1"/>
      <c r="N32" s="1"/>
      <c r="O32" s="1"/>
    </row>
    <row r="33" spans="1:15" ht="55.95" customHeight="1" x14ac:dyDescent="0.3">
      <c r="A33" s="1"/>
      <c r="B33" s="33" t="s">
        <v>34</v>
      </c>
      <c r="C33" s="12" t="s">
        <v>97</v>
      </c>
      <c r="D33" s="12" t="s">
        <v>98</v>
      </c>
      <c r="E33" s="12" t="s">
        <v>99</v>
      </c>
      <c r="F33" s="12" t="s">
        <v>42</v>
      </c>
      <c r="G33" s="73" t="s">
        <v>100</v>
      </c>
      <c r="H33" s="76">
        <v>3500</v>
      </c>
      <c r="I33" s="74" t="s">
        <v>101</v>
      </c>
      <c r="J33" s="1"/>
      <c r="K33" s="1"/>
      <c r="L33" s="1"/>
      <c r="M33" s="1"/>
      <c r="N33" s="1"/>
      <c r="O33" s="1"/>
    </row>
    <row r="34" spans="1:15" ht="55.95" customHeight="1" x14ac:dyDescent="0.3">
      <c r="A34" s="1"/>
      <c r="B34" s="33" t="s">
        <v>44</v>
      </c>
      <c r="C34" s="14" t="s">
        <v>97</v>
      </c>
      <c r="D34" s="14" t="s">
        <v>102</v>
      </c>
      <c r="E34" s="14" t="s">
        <v>103</v>
      </c>
      <c r="F34" s="14" t="s">
        <v>42</v>
      </c>
      <c r="G34" s="73" t="s">
        <v>104</v>
      </c>
      <c r="H34" s="77">
        <v>2500</v>
      </c>
      <c r="I34" s="74" t="s">
        <v>105</v>
      </c>
      <c r="J34" s="1"/>
      <c r="K34" s="1"/>
      <c r="L34" s="1"/>
      <c r="M34" s="1"/>
      <c r="N34" s="1"/>
      <c r="O34" s="1"/>
    </row>
    <row r="35" spans="1:15" ht="55.95" customHeight="1" x14ac:dyDescent="0.3">
      <c r="A35" s="1"/>
      <c r="B35" s="33" t="s">
        <v>52</v>
      </c>
      <c r="C35" s="12" t="s">
        <v>97</v>
      </c>
      <c r="D35" s="12" t="s">
        <v>106</v>
      </c>
      <c r="E35" s="12" t="s">
        <v>107</v>
      </c>
      <c r="F35" s="12" t="s">
        <v>108</v>
      </c>
      <c r="G35" s="73" t="s">
        <v>109</v>
      </c>
      <c r="H35" s="76">
        <v>1500</v>
      </c>
      <c r="I35" s="74" t="s">
        <v>110</v>
      </c>
      <c r="J35" s="1"/>
      <c r="K35" s="1"/>
      <c r="L35" s="1"/>
      <c r="M35" s="1"/>
      <c r="N35" s="1"/>
      <c r="O35" s="1"/>
    </row>
    <row r="36" spans="1:15" ht="55.95" customHeight="1" x14ac:dyDescent="0.3">
      <c r="A36" s="1"/>
      <c r="B36" s="33" t="s">
        <v>58</v>
      </c>
      <c r="C36" s="14" t="s">
        <v>97</v>
      </c>
      <c r="D36" s="14" t="s">
        <v>111</v>
      </c>
      <c r="E36" s="14" t="s">
        <v>112</v>
      </c>
      <c r="F36" s="14" t="s">
        <v>113</v>
      </c>
      <c r="G36" s="73" t="s">
        <v>114</v>
      </c>
      <c r="H36" s="77">
        <v>4000</v>
      </c>
      <c r="I36" s="74" t="s">
        <v>115</v>
      </c>
      <c r="J36" s="1"/>
      <c r="K36" s="1"/>
      <c r="L36" s="1"/>
      <c r="M36" s="1"/>
      <c r="N36" s="1"/>
      <c r="O36" s="1"/>
    </row>
    <row r="37" spans="1:15" ht="55.95" customHeight="1" x14ac:dyDescent="0.3">
      <c r="A37" s="1"/>
      <c r="B37" s="33" t="s">
        <v>64</v>
      </c>
      <c r="C37" s="12" t="s">
        <v>49</v>
      </c>
      <c r="D37" s="12" t="s">
        <v>116</v>
      </c>
      <c r="E37" s="12" t="s">
        <v>117</v>
      </c>
      <c r="F37" s="12" t="s">
        <v>118</v>
      </c>
      <c r="G37" s="73" t="s">
        <v>119</v>
      </c>
      <c r="H37" s="76">
        <v>2000</v>
      </c>
      <c r="I37" s="74" t="s">
        <v>120</v>
      </c>
      <c r="J37" s="1"/>
      <c r="K37" s="1"/>
      <c r="L37" s="1"/>
      <c r="M37" s="1"/>
      <c r="N37" s="1"/>
      <c r="O37" s="1"/>
    </row>
    <row r="38" spans="1:15" ht="55.95" customHeight="1" x14ac:dyDescent="0.3">
      <c r="A38" s="1"/>
      <c r="B38" s="33" t="s">
        <v>69</v>
      </c>
      <c r="C38" s="14" t="s">
        <v>49</v>
      </c>
      <c r="D38" s="14" t="s">
        <v>121</v>
      </c>
      <c r="E38" s="14" t="s">
        <v>122</v>
      </c>
      <c r="F38" s="14" t="s">
        <v>9</v>
      </c>
      <c r="G38" s="73" t="s">
        <v>123</v>
      </c>
      <c r="H38" s="77">
        <v>5000</v>
      </c>
      <c r="I38" s="74" t="s">
        <v>124</v>
      </c>
      <c r="J38" s="1"/>
      <c r="K38" s="1"/>
      <c r="L38" s="1"/>
      <c r="M38" s="1"/>
      <c r="N38" s="1"/>
      <c r="O38" s="1"/>
    </row>
    <row r="39" spans="1:15" ht="55.95" customHeight="1" x14ac:dyDescent="0.3">
      <c r="A39" s="1"/>
      <c r="B39" s="33" t="s">
        <v>75</v>
      </c>
      <c r="C39" s="12" t="s">
        <v>39</v>
      </c>
      <c r="D39" s="12" t="s">
        <v>125</v>
      </c>
      <c r="E39" s="12" t="s">
        <v>126</v>
      </c>
      <c r="F39" s="12" t="s">
        <v>9</v>
      </c>
      <c r="G39" s="73" t="s">
        <v>123</v>
      </c>
      <c r="H39" s="12">
        <v>0</v>
      </c>
      <c r="I39" s="74" t="s">
        <v>127</v>
      </c>
      <c r="J39" s="1"/>
      <c r="K39" s="1"/>
      <c r="L39" s="1"/>
      <c r="M39" s="1"/>
      <c r="N39" s="1"/>
      <c r="O39" s="1"/>
    </row>
    <row r="40" spans="1:15" ht="55.95" customHeight="1" x14ac:dyDescent="0.3">
      <c r="A40" s="1"/>
      <c r="B40" s="33" t="s">
        <v>80</v>
      </c>
      <c r="C40" s="14" t="s">
        <v>49</v>
      </c>
      <c r="D40" s="14" t="s">
        <v>128</v>
      </c>
      <c r="E40" s="14" t="s">
        <v>129</v>
      </c>
      <c r="F40" s="14" t="s">
        <v>130</v>
      </c>
      <c r="G40" s="73" t="s">
        <v>114</v>
      </c>
      <c r="H40" s="77">
        <v>3000</v>
      </c>
      <c r="I40" s="74" t="s">
        <v>131</v>
      </c>
      <c r="J40" s="1"/>
      <c r="K40" s="1"/>
      <c r="L40" s="1"/>
      <c r="M40" s="1"/>
      <c r="N40" s="1"/>
      <c r="O40" s="1"/>
    </row>
    <row r="41" spans="1:15" ht="55.95" customHeight="1" x14ac:dyDescent="0.3">
      <c r="A41" s="1"/>
      <c r="B41" s="33" t="s">
        <v>86</v>
      </c>
      <c r="C41" s="12" t="s">
        <v>39</v>
      </c>
      <c r="D41" s="12" t="s">
        <v>132</v>
      </c>
      <c r="E41" s="12" t="s">
        <v>133</v>
      </c>
      <c r="F41" s="12" t="s">
        <v>9</v>
      </c>
      <c r="G41" s="73" t="s">
        <v>134</v>
      </c>
      <c r="H41" s="12">
        <v>0</v>
      </c>
      <c r="I41" s="74" t="s">
        <v>135</v>
      </c>
      <c r="J41" s="1"/>
      <c r="K41" s="1"/>
      <c r="L41" s="1"/>
      <c r="M41" s="1"/>
      <c r="N41" s="1"/>
      <c r="O41" s="1"/>
    </row>
    <row r="42" spans="1:15" ht="55.95" customHeight="1" x14ac:dyDescent="0.3">
      <c r="A42" s="1"/>
      <c r="B42" s="33" t="s">
        <v>87</v>
      </c>
      <c r="C42" s="14"/>
      <c r="D42" s="14"/>
      <c r="E42" s="14"/>
      <c r="F42" s="14"/>
      <c r="G42" s="73"/>
      <c r="H42" s="14"/>
      <c r="I42" s="74"/>
      <c r="J42" s="1"/>
      <c r="K42" s="1"/>
      <c r="L42" s="1"/>
      <c r="M42" s="1"/>
      <c r="N42" s="1"/>
      <c r="O42" s="1"/>
    </row>
    <row r="43" spans="1:15" ht="55.95" customHeight="1" x14ac:dyDescent="0.3">
      <c r="A43" s="1"/>
      <c r="B43" s="33" t="s">
        <v>88</v>
      </c>
      <c r="C43" s="12"/>
      <c r="D43" s="12"/>
      <c r="E43" s="12"/>
      <c r="F43" s="12"/>
      <c r="G43" s="73"/>
      <c r="H43" s="12"/>
      <c r="I43" s="74"/>
      <c r="J43" s="1"/>
      <c r="K43" s="1"/>
      <c r="L43" s="1"/>
      <c r="M43" s="1"/>
      <c r="N43" s="1"/>
      <c r="O43" s="1"/>
    </row>
    <row r="44" spans="1:15" ht="55.95" customHeight="1" x14ac:dyDescent="0.3">
      <c r="A44" s="1"/>
      <c r="B44" s="33" t="s">
        <v>89</v>
      </c>
      <c r="C44" s="14"/>
      <c r="D44" s="14"/>
      <c r="E44" s="14"/>
      <c r="F44" s="14"/>
      <c r="G44" s="73"/>
      <c r="H44" s="14"/>
      <c r="I44" s="74"/>
      <c r="J44" s="1"/>
      <c r="K44" s="1"/>
      <c r="L44" s="1"/>
      <c r="M44" s="1"/>
      <c r="N44" s="1"/>
      <c r="O44" s="1"/>
    </row>
    <row r="45" spans="1:15" ht="10.050000000000001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25.95" customHeight="1" x14ac:dyDescent="0.3">
      <c r="A46" s="1"/>
      <c r="B46" s="94" t="s">
        <v>136</v>
      </c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1"/>
      <c r="O46" s="1"/>
    </row>
    <row r="47" spans="1:15" ht="30" customHeight="1" x14ac:dyDescent="0.3">
      <c r="A47" s="1"/>
      <c r="B47" s="75" t="s">
        <v>137</v>
      </c>
      <c r="C47" s="88" t="s">
        <v>138</v>
      </c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6"/>
      <c r="O47" s="1"/>
    </row>
    <row r="48" spans="1:15" ht="25.95" customHeight="1" x14ac:dyDescent="0.3">
      <c r="A48" s="1"/>
      <c r="B48" s="84" t="s">
        <v>139</v>
      </c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6"/>
      <c r="N48" s="27" t="s">
        <v>140</v>
      </c>
      <c r="O48" s="1"/>
    </row>
    <row r="49" spans="1:15" ht="25.95" customHeight="1" x14ac:dyDescent="0.3">
      <c r="A49" s="1"/>
      <c r="B49" s="92" t="s">
        <v>141</v>
      </c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6"/>
      <c r="N49" s="27" t="s">
        <v>140</v>
      </c>
      <c r="O49" s="1"/>
    </row>
    <row r="50" spans="1:15" ht="25.95" customHeight="1" x14ac:dyDescent="0.3">
      <c r="A50" s="1"/>
      <c r="B50" s="84" t="s">
        <v>142</v>
      </c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6"/>
      <c r="N50" s="27" t="s">
        <v>140</v>
      </c>
      <c r="O50" s="1"/>
    </row>
    <row r="51" spans="1:15" ht="25.95" customHeight="1" x14ac:dyDescent="0.3">
      <c r="A51" s="1"/>
      <c r="B51" s="92" t="s">
        <v>143</v>
      </c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6"/>
      <c r="N51" s="27" t="s">
        <v>140</v>
      </c>
      <c r="O51" s="1"/>
    </row>
    <row r="52" spans="1:15" ht="25.95" customHeight="1" x14ac:dyDescent="0.3">
      <c r="A52" s="1"/>
      <c r="B52" s="84" t="s">
        <v>144</v>
      </c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6"/>
      <c r="N52" s="27" t="s">
        <v>140</v>
      </c>
      <c r="O52" s="1"/>
    </row>
    <row r="53" spans="1:15" ht="25.95" customHeight="1" x14ac:dyDescent="0.3">
      <c r="A53" s="1"/>
      <c r="B53" s="92" t="s">
        <v>145</v>
      </c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6"/>
      <c r="N53" s="27" t="s">
        <v>140</v>
      </c>
      <c r="O53" s="1"/>
    </row>
    <row r="54" spans="1:15" ht="25.95" customHeight="1" x14ac:dyDescent="0.3">
      <c r="A54" s="1"/>
      <c r="B54" s="84" t="s">
        <v>146</v>
      </c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6"/>
      <c r="N54" s="27" t="s">
        <v>140</v>
      </c>
      <c r="O54" s="1"/>
    </row>
    <row r="55" spans="1:15" ht="25.95" customHeight="1" x14ac:dyDescent="0.3">
      <c r="A55" s="1"/>
      <c r="B55" s="92" t="s">
        <v>147</v>
      </c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6"/>
      <c r="N55" s="27" t="s">
        <v>140</v>
      </c>
      <c r="O55" s="1"/>
    </row>
    <row r="56" spans="1:15" ht="25.95" customHeight="1" x14ac:dyDescent="0.3">
      <c r="A56" s="1"/>
      <c r="B56" s="84" t="s">
        <v>148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6"/>
      <c r="N56" s="27" t="s">
        <v>140</v>
      </c>
      <c r="O56" s="1"/>
    </row>
    <row r="57" spans="1:15" ht="25.95" customHeight="1" x14ac:dyDescent="0.3">
      <c r="A57" s="1"/>
      <c r="B57" s="92" t="s">
        <v>149</v>
      </c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6"/>
      <c r="N57" s="27" t="s">
        <v>140</v>
      </c>
      <c r="O57" s="1"/>
    </row>
    <row r="58" spans="1:1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</sheetData>
  <mergeCells count="26">
    <mergeCell ref="B2:N2"/>
    <mergeCell ref="B54:M54"/>
    <mergeCell ref="C6:N6"/>
    <mergeCell ref="B56:M56"/>
    <mergeCell ref="B52:M52"/>
    <mergeCell ref="B3:N3"/>
    <mergeCell ref="B16:N16"/>
    <mergeCell ref="C7:N7"/>
    <mergeCell ref="B55:M55"/>
    <mergeCell ref="B46:N46"/>
    <mergeCell ref="B31:N31"/>
    <mergeCell ref="B51:M51"/>
    <mergeCell ref="C13:N13"/>
    <mergeCell ref="B50:M50"/>
    <mergeCell ref="B57:M57"/>
    <mergeCell ref="B53:M53"/>
    <mergeCell ref="C12:N12"/>
    <mergeCell ref="B5:N5"/>
    <mergeCell ref="C11:N11"/>
    <mergeCell ref="C8:N8"/>
    <mergeCell ref="B49:M49"/>
    <mergeCell ref="B48:M48"/>
    <mergeCell ref="C10:N10"/>
    <mergeCell ref="C47:N47"/>
    <mergeCell ref="C9:N9"/>
    <mergeCell ref="B15:N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PORTADA</vt:lpstr>
      <vt:lpstr>MARCO TEORICO</vt:lpstr>
      <vt:lpstr>REGISTRO DE RIESGOS</vt:lpstr>
      <vt:lpstr>MATRIZ P x I</vt:lpstr>
      <vt:lpstr>PLAN DE RESPUESTA</vt:lpstr>
      <vt:lpstr>DASHBOARD CONTROL</vt:lpstr>
      <vt:lpstr>PLANTILLA ALUMNOS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 Valverde</cp:lastModifiedBy>
  <dcterms:created xsi:type="dcterms:W3CDTF">2026-04-15T15:53:04Z</dcterms:created>
  <dcterms:modified xsi:type="dcterms:W3CDTF">2026-08-26T16:51:40Z</dcterms:modified>
</cp:coreProperties>
</file>