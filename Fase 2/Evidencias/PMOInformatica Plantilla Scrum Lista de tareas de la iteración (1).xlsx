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6J+psnC2afBGoikFVwAy2GCJ33o1Book9vpoxSx0LpQ="/>
    </ext>
  </extLst>
</workbook>
</file>

<file path=xl/sharedStrings.xml><?xml version="1.0" encoding="utf-8"?>
<sst xmlns="http://schemas.openxmlformats.org/spreadsheetml/2006/main" count="214" uniqueCount="115">
  <si>
    <t>Metodologías ágiles: Lista de tareas de la iteración</t>
  </si>
  <si>
    <t>Lista de tareas de la iteración (Product Backlog): Instructivo</t>
  </si>
  <si>
    <t>Elaborado por: pmoinformatica.com</t>
  </si>
  <si>
    <t>(Sprint Backlog)</t>
  </si>
  <si>
    <t>Columna</t>
  </si>
  <si>
    <t>Instrucciones</t>
  </si>
  <si>
    <t>Día 1</t>
  </si>
  <si>
    <t>Día 2</t>
  </si>
  <si>
    <t>Día 3</t>
  </si>
  <si>
    <t>Día 4</t>
  </si>
  <si>
    <t>Día 5</t>
  </si>
  <si>
    <t>Día 6</t>
  </si>
  <si>
    <t>Día 7</t>
  </si>
  <si>
    <t>Día 8</t>
  </si>
  <si>
    <t>Día 9</t>
  </si>
  <si>
    <t>Día 10</t>
  </si>
  <si>
    <t>Día 11</t>
  </si>
  <si>
    <t>Día 12</t>
  </si>
  <si>
    <t>Código que hace referencia al elemento de la pila de producto (Product Backlog) al cual la tarea de la iteración hace referencia.</t>
  </si>
  <si>
    <t>Día 13</t>
  </si>
  <si>
    <t>Día 14</t>
  </si>
  <si>
    <t>Día 15</t>
  </si>
  <si>
    <t>Día 16</t>
  </si>
  <si>
    <t>Día 17</t>
  </si>
  <si>
    <t>Enunciado o nombre del elemento de pila de producto (Product Backlog). En la mayoría de los casos, el nombre asignado al elemento de product backlog es el mismo de la historia de usuario.</t>
  </si>
  <si>
    <t>Día 18</t>
  </si>
  <si>
    <t>Día 19</t>
  </si>
  <si>
    <t>Día 20</t>
  </si>
  <si>
    <t>Tarea</t>
  </si>
  <si>
    <t>Total</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</si>
  <si>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</si>
  <si>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Identificador (ID) de item de product backlog</t>
  </si>
  <si>
    <t>Enunciado del item de Product Backlog</t>
  </si>
  <si>
    <t>Dueño / Voluntario</t>
  </si>
  <si>
    <t>Estatus</t>
  </si>
  <si>
    <t>Horas estimadas totales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</si>
  <si>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</si>
  <si>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Cons.</t>
  </si>
  <si>
    <t>Rest.</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</si>
  <si>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</si>
  <si>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que han sido estimadas por el equipo Scrum que serán necesarias para ejecutar la tarea. La asignación de estimados se realiza durante la reunión de planificación de la iteración (Sprint Planning Meeting).</t>
  </si>
  <si>
    <t>HU-0101</t>
  </si>
  <si>
    <t>Como un Desarrollador o Líder Técnico, necesito configurar el repositorio de código del proyecto en GitHub, con la finalidad de mantener el control de versiones y facilitar el trabajo colaborativo del equipo.</t>
  </si>
  <si>
    <t>Crear repositorio en GitHub</t>
  </si>
  <si>
    <t>Ariel (Scrum Master)</t>
  </si>
  <si>
    <t>Completada</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</si>
  <si>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</si>
  <si>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</si>
  <si>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</si>
  <si>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</si>
  <si>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</si>
  <si>
    <t>Configurar ramas principales y políticas</t>
  </si>
  <si>
    <t>Dar acceso y permisos al equipo</t>
  </si>
  <si>
    <t>HU-0102</t>
  </si>
  <si>
    <t>Como un Product Owner o Analista, necesito definir y validar un listado de 20 a 30 frases críticas para el negocio, con la finalidad de asegurar la información base antes de construir el módulo principal de traducción.</t>
  </si>
  <si>
    <t>Recopilar propuestas de frases</t>
  </si>
  <si>
    <t>Diego (PO)</t>
  </si>
  <si>
    <t>Seleccionar y refinar 30 frases críticas</t>
  </si>
  <si>
    <t>Validar frases en reunión presencial</t>
  </si>
  <si>
    <t>HU-0103</t>
  </si>
  <si>
    <t>Como un Diseñador UX/UI o Cliente, necesito visualizar el diseño de las pantallas para el perfil de usuario y de ejecutivo, con la finalidad de validar la interfaz y la experiencia del sistema antes de comenzar a codificar.</t>
  </si>
  <si>
    <t>Diseñar mockups de la vista de usuario</t>
  </si>
  <si>
    <t>Ariel / Diego</t>
  </si>
  <si>
    <t>Diseñar mockups de la vista de ejecutivo</t>
  </si>
  <si>
    <t>Revisión y ajustes con el equipo</t>
  </si>
  <si>
    <t>HU-0104</t>
  </si>
  <si>
    <t>Como un Analista de Procesos o Equipo de Desarrollo, necesito un diagrama que modele los procesos críticos del negocio, con la finalidad de comprender el flujo de trabajo y asegurar una correcta creación de la base de datos en la Etapa 1.</t>
  </si>
  <si>
    <t>Analizar procesos actuales y requerimientos</t>
  </si>
  <si>
    <t>Modelar el diagrama en formato BPM</t>
  </si>
  <si>
    <t>Revisión del diagrama con el equipo</t>
  </si>
  <si>
    <t>HU-0105</t>
  </si>
  <si>
    <t>Como un Arquitecto de Software o DevOps, necesito definir y preparar el alojamiento en un servidor, con la finalidad de tener un entorno listo y seguro para hospedar la base de datos y futuros despliegues del sistema.</t>
  </si>
  <si>
    <t>Seleccionar proveedor de alojamiento</t>
  </si>
  <si>
    <t>Martin (Backend)</t>
  </si>
  <si>
    <t>Aprovisionar y configurar servidor base</t>
  </si>
  <si>
    <t>Martin / Vicente</t>
  </si>
  <si>
    <t>Configurar seguridad y accesos remotos</t>
  </si>
  <si>
    <t>Sprint 2 (Semanas 3-4) — Arquitectura, BD y setup inicial</t>
  </si>
  <si>
    <t>HU-0201</t>
  </si>
  <si>
    <t>Como Arquitecto de Software, necesito definir los contratos API entre frontend y backend, con la finalidad de asegurar una comunicación consistente entre ambos módulos.</t>
  </si>
  <si>
    <t>Definir endpoints principales</t>
  </si>
  <si>
    <t>Ariel Valverde</t>
  </si>
  <si>
    <t>Documentar contratos request/response</t>
  </si>
  <si>
    <t>Revisión con el equipo</t>
  </si>
  <si>
    <t>HU-0202</t>
  </si>
  <si>
    <t>Como Desarrollador Backend, necesito diseñar la base de datos del sistema, con la finalidad de almacenar usuarios, historial y catálogo de vocabulario.</t>
  </si>
  <si>
    <t>Modelar entidades y relaciones</t>
  </si>
  <si>
    <t>Vicente Tramon</t>
  </si>
  <si>
    <t>Crear tablas en Supabase</t>
  </si>
  <si>
    <t>Configurar autenticación</t>
  </si>
  <si>
    <t>HU-0203</t>
  </si>
  <si>
    <t>Como Desarrollador Full Stack, necesito levantar los frameworks base del proyecto, con la finalidad de contar con un entorno de desarrollo funcional.</t>
  </si>
  <si>
    <t>Setup inicial Next.js ("Hola mundo")</t>
  </si>
  <si>
    <t>Ariel Valverde / Diego Robert</t>
  </si>
  <si>
    <t>Setup inicial FastAPI conectado a BD</t>
  </si>
  <si>
    <t>Verificar conexión end-to-end básica</t>
  </si>
  <si>
    <t>Ariel Valverde  / Diego Robert</t>
  </si>
  <si>
    <t>Sprint 3 (Semanas 5-6) — Dataset y validación de LSCh</t>
  </si>
  <si>
    <t>HU-0301</t>
  </si>
  <si>
    <t>Como Científico de Datos, necesito programar un script de captura automatizada, con la finalidad de estandarizar la grabación de señas.</t>
  </si>
  <si>
    <t>Programar script Python + OpenCV + MediaPipe</t>
  </si>
  <si>
    <t>Probar script con señas de ejemplo</t>
  </si>
  <si>
    <t>Pendiente</t>
  </si>
  <si>
    <t>HU-0302</t>
  </si>
  <si>
    <t>Como equipo del proyecto, necesito coordinar sesiones de grabación con personas señantes, con la finalidad de construir el dataset de entrenamiento.</t>
  </si>
  <si>
    <t>Coordinar y agendar sesiones</t>
  </si>
  <si>
    <t>Equipo completo</t>
  </si>
  <si>
    <t>Completada/pendiente</t>
  </si>
  <si>
    <t>Grabar el vocabulario en múltiples ángulos</t>
  </si>
  <si>
    <t>Firmar consentimiento informado con participantes</t>
  </si>
  <si>
    <t>HU-0303</t>
  </si>
  <si>
    <t>Como Científico de Datos, necesito validar el dataset grabado, con la finalidad de asegurar que corresponda al vocabulario correcto de LSCh.</t>
  </si>
  <si>
    <t>Revisión de señas junto a intérprete/experta</t>
  </si>
  <si>
    <t>Descartar videos borrosos o inconsistentes</t>
  </si>
  <si>
    <t>Organizar dataset limpio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</si>
</sst>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color theme="1"/>
      <name val="Calibri"/>
      <scheme val="minor"/>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7">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Border="1" applyFill="1" applyFont="1"/>
    <xf borderId="3" fillId="3" fontId="4" numFmtId="0" xfId="0" applyAlignment="1" applyBorder="1" applyFill="1" applyFont="1">
      <alignment horizontal="center" shrinkToFit="0" vertical="center" wrapText="1"/>
    </xf>
    <xf borderId="4" fillId="0" fontId="5" numFmtId="0" xfId="0" applyBorder="1" applyFont="1"/>
    <xf borderId="5" fillId="3" fontId="4" numFmtId="0" xfId="0" applyAlignment="1" applyBorder="1" applyFill="1" applyFont="1">
      <alignment horizontal="center" shrinkToFit="0" vertical="center" wrapText="1"/>
    </xf>
    <xf borderId="2" fillId="2" fontId="1" numFmtId="0" xfId="0" applyAlignment="1" applyBorder="1" applyFill="1" applyFont="1">
      <alignment horizontal="left" shrinkToFit="0" vertical="top" wrapText="1"/>
    </xf>
    <xf borderId="2" fillId="3" fontId="4" numFmtId="0" xfId="0" applyAlignment="1" applyBorder="1" applyFill="1" applyFont="1">
      <alignment horizontal="center" shrinkToFit="0" vertical="center" wrapText="1"/>
    </xf>
    <xf borderId="6" fillId="3" fontId="4" numFmtId="0" xfId="0" applyAlignment="1" applyBorder="1" applyFill="1" applyFont="1">
      <alignment horizontal="center" shrinkToFit="0" vertical="center" wrapText="1"/>
    </xf>
    <xf borderId="2" fillId="2" fontId="1" numFmtId="0" xfId="0" applyAlignment="1" applyBorder="1" applyFill="1" applyFont="1">
      <alignment horizontal="center" shrinkToFit="0" vertical="top" wrapText="1"/>
    </xf>
    <xf borderId="2" fillId="2" fontId="1" numFmtId="0" xfId="0" applyAlignment="1" applyBorder="1" applyFill="1" applyFont="1">
      <alignment horizontal="right" shrinkToFit="0" vertical="top" wrapText="1"/>
    </xf>
    <xf borderId="2" fillId="4" fontId="1" numFmtId="0" xfId="0" applyAlignment="1" applyBorder="1" applyFill="1" applyFont="1">
      <alignment horizontal="right" shrinkToFit="0" vertical="top" wrapText="1"/>
    </xf>
    <xf borderId="2" fillId="5" fontId="1" numFmtId="0" xfId="0" applyAlignment="1" applyBorder="1" applyFill="1" applyFont="1">
      <alignment horizontal="right" shrinkToFit="0" vertical="top" wrapText="1"/>
    </xf>
    <xf borderId="0" fillId="0" fontId="1" numFmtId="0" xfId="0" applyAlignment="1" applyFont="1">
      <alignment horizontal="center"/>
    </xf>
    <xf borderId="0" fillId="0" fontId="6" numFmtId="0" xfId="0" applyFont="1"/>
    <xf borderId="1" fillId="2" fontId="1" numFmtId="0" xfId="0" applyAlignment="1" applyBorder="1" applyFill="1" applyFont="1">
      <alignment horizontal="center"/>
    </xf>
    <xf borderId="2" fillId="2" fontId="1" numFmtId="0" xfId="0" applyAlignment="1" applyBorder="1" applyFill="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33.71"/>
    <col customWidth="1" min="5" max="5" width="14.86"/>
    <col customWidth="1" min="6" max="6" width="10.86"/>
    <col customWidth="1" min="7" max="7" width="14.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hidden="1" min="23" max="23" width="5.86"/>
    <col customWidth="1" hidden="1" min="24" max="24" width="5.43"/>
    <col customWidth="1" hidden="1" min="25" max="25" width="2.71"/>
    <col customWidth="1" hidden="1" min="26" max="26" width="5.86"/>
    <col customWidth="1" hidden="1" min="27" max="27" width="5.43"/>
    <col customWidth="1" hidden="1" min="28" max="28" width="2.71"/>
    <col customWidth="1" hidden="1" min="29" max="29" width="5.86"/>
    <col customWidth="1" hidden="1" min="30" max="30" width="5.43"/>
    <col customWidth="1" hidden="1" min="31" max="31" width="2.71"/>
    <col customWidth="1" hidden="1" min="32" max="32" width="5.86"/>
    <col customWidth="1" hidden="1" min="33" max="33" width="5.43"/>
    <col customWidth="1" hidden="1" min="34" max="34" width="2.71"/>
    <col customWidth="1" hidden="1" min="35" max="35" width="5.86"/>
    <col customWidth="1" hidden="1" min="36" max="36" width="5.43"/>
    <col customWidth="1" hidden="1" min="37" max="37" width="2.71"/>
    <col customWidth="1" hidden="1" min="38" max="38" width="5.86"/>
    <col customWidth="1" hidden="1" min="39" max="39" width="5.43"/>
    <col customWidth="1" hidden="1" min="40" max="40" width="2.71"/>
    <col customWidth="1" hidden="1" min="41" max="41" width="5.86"/>
    <col customWidth="1" hidden="1" min="42" max="42" width="5.43"/>
    <col customWidth="1" hidden="1" min="43" max="43" width="2.71"/>
    <col customWidth="1" hidden="1" min="44" max="44" width="5.86"/>
    <col customWidth="1" hidden="1" min="45" max="45" width="5.43"/>
    <col customWidth="1" hidden="1" min="46" max="46" width="2.71"/>
    <col customWidth="1" hidden="1" min="47" max="47" width="5.86"/>
    <col customWidth="1" hidden="1" min="48" max="48" width="5.43"/>
    <col customWidth="1" hidden="1" min="49" max="49" width="2.71"/>
    <col customWidth="1" hidden="1" min="50" max="50" width="5.86"/>
    <col customWidth="1" hidden="1" min="51" max="51" width="5.43"/>
    <col customWidth="1" hidden="1" min="52" max="52" width="2.71"/>
    <col customWidth="1" hidden="1" min="53" max="53" width="5.86"/>
    <col customWidth="1" hidden="1" min="54" max="54" width="5.43"/>
    <col customWidth="1" hidden="1" min="55" max="55" width="2.71"/>
    <col customWidth="1" hidden="1" min="56" max="56" width="5.86"/>
    <col customWidth="1" hidden="1" min="57" max="57" width="5.43"/>
    <col customWidth="1" hidden="1" min="58" max="58" width="2.71"/>
    <col customWidth="1" hidden="1" min="59" max="59" width="5.86"/>
    <col customWidth="1" hidden="1" min="60" max="60" width="5.43"/>
    <col customWidth="1" hidden="1" min="61" max="61" width="2.71"/>
    <col customWidth="1" hidden="1" min="62" max="62" width="5.86"/>
    <col customWidth="1" hidden="1" min="63" max="63" width="5.43"/>
    <col customWidth="1" hidden="1" min="64" max="64" width="2.71"/>
    <col customWidth="1" hidden="1" min="65" max="65" width="5.86"/>
    <col customWidth="1" hidden="1" min="66" max="66" width="5.43"/>
    <col customWidth="1" hidden="1" min="67" max="67" width="2.71"/>
    <col customWidth="1" min="68" max="68" width="5.86"/>
    <col customWidth="1" min="69" max="69" width="5.43"/>
  </cols>
  <sheetData>
    <row r="1" ht="28.5" customHeight="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ht="28.5" customHeight="1">
      <c r="A2" s="1"/>
      <c r="B2" s="2" t="s">
        <v>3</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ht="21.0" customHeight="1">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ht="14.25" customHeight="1">
      <c r="A4" s="1"/>
      <c r="B4" s="1"/>
      <c r="C4" s="1"/>
      <c r="D4" s="1"/>
      <c r="E4" s="1"/>
      <c r="F4" s="1"/>
      <c r="G4" s="1"/>
      <c r="H4" s="5" t="s">
        <v>6</v>
      </c>
      <c r="I4" s="6"/>
      <c r="J4" s="7"/>
      <c r="K4" s="5" t="s">
        <v>7</v>
      </c>
      <c r="L4" s="6"/>
      <c r="M4" s="7"/>
      <c r="N4" s="5" t="s">
        <v>8</v>
      </c>
      <c r="O4" s="6"/>
      <c r="P4" s="7"/>
      <c r="Q4" s="5" t="s">
        <v>9</v>
      </c>
      <c r="R4" s="6"/>
      <c r="S4" s="7"/>
      <c r="T4" s="5" t="s">
        <v>10</v>
      </c>
      <c r="U4" s="6"/>
      <c r="V4" s="7"/>
      <c r="W4" s="5" t="s">
        <v>11</v>
      </c>
      <c r="X4" s="6"/>
      <c r="Y4" s="7"/>
      <c r="Z4" s="5" t="s">
        <v>12</v>
      </c>
      <c r="AA4" s="6"/>
      <c r="AB4" s="7"/>
      <c r="AC4" s="5" t="s">
        <v>13</v>
      </c>
      <c r="AD4" s="6"/>
      <c r="AE4" s="7"/>
      <c r="AF4" s="5" t="s">
        <v>14</v>
      </c>
      <c r="AG4" s="6"/>
      <c r="AH4" s="7"/>
      <c r="AI4" s="5" t="s">
        <v>15</v>
      </c>
      <c r="AJ4" s="6"/>
      <c r="AK4" s="7"/>
      <c r="AL4" s="5" t="s">
        <v>16</v>
      </c>
      <c r="AM4" s="6"/>
      <c r="AN4" s="7"/>
      <c r="AO4" s="5" t="s">
        <v>17</v>
      </c>
      <c r="AP4" s="6"/>
      <c r="AQ4" s="7"/>
      <c r="AR4" s="5" t="s">
        <v>19</v>
      </c>
      <c r="AS4" s="6"/>
      <c r="AT4" s="7"/>
      <c r="AU4" s="5" t="s">
        <v>20</v>
      </c>
      <c r="AV4" s="6"/>
      <c r="AW4" s="7"/>
      <c r="AX4" s="5" t="s">
        <v>21</v>
      </c>
      <c r="AY4" s="6"/>
      <c r="AZ4" s="7"/>
      <c r="BA4" s="5" t="s">
        <v>22</v>
      </c>
      <c r="BB4" s="6"/>
      <c r="BC4" s="7"/>
      <c r="BD4" s="5" t="s">
        <v>23</v>
      </c>
      <c r="BE4" s="6"/>
      <c r="BF4" s="7"/>
      <c r="BG4" s="5" t="s">
        <v>25</v>
      </c>
      <c r="BH4" s="6"/>
      <c r="BI4" s="7"/>
      <c r="BJ4" s="5" t="s">
        <v>26</v>
      </c>
      <c r="BK4" s="6"/>
      <c r="BL4" s="7"/>
      <c r="BM4" s="5" t="s">
        <v>27</v>
      </c>
      <c r="BN4" s="6"/>
      <c r="BO4" s="7"/>
      <c r="BP4" s="5" t="s">
        <v>29</v>
      </c>
      <c r="BQ4" s="6"/>
    </row>
    <row r="5" ht="45.0" customHeight="1">
      <c r="A5" s="1"/>
      <c r="B5" s="9" t="s">
        <v>31</v>
      </c>
      <c r="C5" s="9" t="s">
        <v>32</v>
      </c>
      <c r="D5" s="9" t="s">
        <v>28</v>
      </c>
      <c r="E5" s="9" t="s">
        <v>33</v>
      </c>
      <c r="F5" s="9" t="s">
        <v>34</v>
      </c>
      <c r="G5" s="9" t="s">
        <v>35</v>
      </c>
      <c r="H5" s="10" t="s">
        <v>37</v>
      </c>
      <c r="I5" s="10" t="s">
        <v>38</v>
      </c>
      <c r="J5" s="10"/>
      <c r="K5" s="10" t="s">
        <v>37</v>
      </c>
      <c r="L5" s="10" t="s">
        <v>38</v>
      </c>
      <c r="M5" s="10"/>
      <c r="N5" s="10" t="s">
        <v>37</v>
      </c>
      <c r="O5" s="10" t="s">
        <v>38</v>
      </c>
      <c r="P5" s="10"/>
      <c r="Q5" s="10" t="s">
        <v>37</v>
      </c>
      <c r="R5" s="10" t="s">
        <v>38</v>
      </c>
      <c r="S5" s="10"/>
      <c r="T5" s="10" t="s">
        <v>37</v>
      </c>
      <c r="U5" s="10" t="s">
        <v>38</v>
      </c>
      <c r="V5" s="10"/>
      <c r="W5" s="10" t="s">
        <v>37</v>
      </c>
      <c r="X5" s="10" t="s">
        <v>38</v>
      </c>
      <c r="Y5" s="10"/>
      <c r="Z5" s="10" t="s">
        <v>37</v>
      </c>
      <c r="AA5" s="10" t="s">
        <v>38</v>
      </c>
      <c r="AB5" s="10"/>
      <c r="AC5" s="10" t="s">
        <v>37</v>
      </c>
      <c r="AD5" s="10" t="s">
        <v>38</v>
      </c>
      <c r="AE5" s="10"/>
      <c r="AF5" s="10" t="s">
        <v>37</v>
      </c>
      <c r="AG5" s="10" t="s">
        <v>38</v>
      </c>
      <c r="AH5" s="10"/>
      <c r="AI5" s="10" t="s">
        <v>37</v>
      </c>
      <c r="AJ5" s="10" t="s">
        <v>38</v>
      </c>
      <c r="AK5" s="10"/>
      <c r="AL5" s="10" t="s">
        <v>37</v>
      </c>
      <c r="AM5" s="10" t="s">
        <v>38</v>
      </c>
      <c r="AN5" s="10"/>
      <c r="AO5" s="10" t="s">
        <v>37</v>
      </c>
      <c r="AP5" s="10" t="s">
        <v>38</v>
      </c>
      <c r="AQ5" s="10"/>
      <c r="AR5" s="10" t="s">
        <v>37</v>
      </c>
      <c r="AS5" s="10" t="s">
        <v>38</v>
      </c>
      <c r="AT5" s="10"/>
      <c r="AU5" s="10" t="s">
        <v>37</v>
      </c>
      <c r="AV5" s="10" t="s">
        <v>38</v>
      </c>
      <c r="AW5" s="10"/>
      <c r="AX5" s="10" t="s">
        <v>37</v>
      </c>
      <c r="AY5" s="10" t="s">
        <v>38</v>
      </c>
      <c r="AZ5" s="10"/>
      <c r="BA5" s="10" t="s">
        <v>37</v>
      </c>
      <c r="BB5" s="10" t="s">
        <v>38</v>
      </c>
      <c r="BC5" s="10"/>
      <c r="BD5" s="10" t="s">
        <v>37</v>
      </c>
      <c r="BE5" s="10" t="s">
        <v>38</v>
      </c>
      <c r="BF5" s="10"/>
      <c r="BG5" s="10" t="s">
        <v>37</v>
      </c>
      <c r="BH5" s="10" t="s">
        <v>38</v>
      </c>
      <c r="BI5" s="10"/>
      <c r="BJ5" s="10" t="s">
        <v>37</v>
      </c>
      <c r="BK5" s="10" t="s">
        <v>38</v>
      </c>
      <c r="BL5" s="10"/>
      <c r="BM5" s="10" t="s">
        <v>37</v>
      </c>
      <c r="BN5" s="10" t="s">
        <v>38</v>
      </c>
      <c r="BO5" s="10"/>
      <c r="BP5" s="10" t="s">
        <v>37</v>
      </c>
      <c r="BQ5" s="10" t="s">
        <v>38</v>
      </c>
    </row>
    <row r="6" ht="45.0" customHeight="1">
      <c r="A6" s="1"/>
      <c r="B6" s="11" t="s">
        <v>41</v>
      </c>
      <c r="C6" s="8" t="s">
        <v>42</v>
      </c>
      <c r="D6" s="8" t="s">
        <v>43</v>
      </c>
      <c r="E6" s="8" t="s">
        <v>44</v>
      </c>
      <c r="F6" s="8" t="s">
        <v>45</v>
      </c>
      <c r="G6" s="8">
        <v>1.0</v>
      </c>
      <c r="H6" s="12"/>
      <c r="I6" s="12">
        <f t="shared" ref="I6:I17" si="1">G6-H6</f>
        <v>1</v>
      </c>
      <c r="J6" s="13"/>
      <c r="K6" s="12"/>
      <c r="L6" s="12">
        <f t="shared" ref="L6:L17" si="2">I6-K6</f>
        <v>1</v>
      </c>
      <c r="M6" s="13"/>
      <c r="N6" s="12"/>
      <c r="O6" s="12">
        <f t="shared" ref="O6:O17" si="3">L6-N6</f>
        <v>1</v>
      </c>
      <c r="P6" s="13"/>
      <c r="Q6" s="12"/>
      <c r="R6" s="12">
        <f t="shared" ref="R6:R17" si="4">O6-Q6</f>
        <v>1</v>
      </c>
      <c r="S6" s="13"/>
      <c r="T6" s="12"/>
      <c r="U6" s="12">
        <f t="shared" ref="U6:U17" si="5">R6-T6</f>
        <v>1</v>
      </c>
      <c r="V6" s="13"/>
      <c r="W6" s="12"/>
      <c r="X6" s="12">
        <f t="shared" ref="X6:X17" si="6">U6-W6</f>
        <v>1</v>
      </c>
      <c r="Y6" s="13"/>
      <c r="Z6" s="12"/>
      <c r="AA6" s="12">
        <f t="shared" ref="AA6:AA17" si="7">X6-Z6</f>
        <v>1</v>
      </c>
      <c r="AB6" s="13"/>
      <c r="AC6" s="12"/>
      <c r="AD6" s="12">
        <f t="shared" ref="AD6:AD17" si="8">AA6-AC6</f>
        <v>1</v>
      </c>
      <c r="AE6" s="13"/>
      <c r="AF6" s="12"/>
      <c r="AG6" s="12">
        <f t="shared" ref="AG6:AG17" si="9">AD6-AF6</f>
        <v>1</v>
      </c>
      <c r="AH6" s="13"/>
      <c r="AI6" s="12"/>
      <c r="AJ6" s="12">
        <f t="shared" ref="AJ6:AJ17" si="10">AG6-AI6</f>
        <v>1</v>
      </c>
      <c r="AK6" s="13"/>
      <c r="AL6" s="12"/>
      <c r="AM6" s="12">
        <f t="shared" ref="AM6:AM17" si="11">AJ6-AL6</f>
        <v>1</v>
      </c>
      <c r="AN6" s="13"/>
      <c r="AO6" s="12"/>
      <c r="AP6" s="12">
        <f t="shared" ref="AP6:AP17" si="12">AM6-AO6</f>
        <v>1</v>
      </c>
      <c r="AQ6" s="13"/>
      <c r="AR6" s="12"/>
      <c r="AS6" s="12">
        <f t="shared" ref="AS6:AS17" si="13">AP6-AR6</f>
        <v>1</v>
      </c>
      <c r="AT6" s="13"/>
      <c r="AU6" s="12"/>
      <c r="AV6" s="12">
        <f t="shared" ref="AV6:AV17" si="14">AS6-AU6</f>
        <v>1</v>
      </c>
      <c r="AW6" s="13"/>
      <c r="AX6" s="12"/>
      <c r="AY6" s="12">
        <f t="shared" ref="AY6:AY17" si="15">AV6-AX6</f>
        <v>1</v>
      </c>
      <c r="AZ6" s="13"/>
      <c r="BA6" s="12"/>
      <c r="BB6" s="12">
        <f t="shared" ref="BB6:BB17" si="16">AY6-BA6</f>
        <v>1</v>
      </c>
      <c r="BC6" s="13"/>
      <c r="BD6" s="12"/>
      <c r="BE6" s="12">
        <f t="shared" ref="BE6:BE17" si="17">BB6-BD6</f>
        <v>1</v>
      </c>
      <c r="BF6" s="13"/>
      <c r="BG6" s="12"/>
      <c r="BH6" s="12">
        <f t="shared" ref="BH6:BH17" si="18">BE6-BG6</f>
        <v>1</v>
      </c>
      <c r="BI6" s="13"/>
      <c r="BJ6" s="12"/>
      <c r="BK6" s="12">
        <f t="shared" ref="BK6:BK17" si="19">BH6-BJ6</f>
        <v>1</v>
      </c>
      <c r="BL6" s="13"/>
      <c r="BM6" s="12"/>
      <c r="BN6" s="12">
        <f t="shared" ref="BN6:BN17" si="20">BK6-BM6</f>
        <v>1</v>
      </c>
      <c r="BO6" s="13"/>
      <c r="BP6" s="14">
        <f t="shared" ref="BP6:BP17" si="21">H6+K6+N6+Q6+T6+W6+Z6+AC6+AF6+AI6+AL6+AO6+AR6+AU6+AX6+BA6+BD6+BG6+BJ6+BM6</f>
        <v>0</v>
      </c>
      <c r="BQ6" s="14">
        <f t="shared" ref="BQ6:BQ17" si="22">G6-BP6</f>
        <v>1</v>
      </c>
    </row>
    <row r="7" ht="28.5" customHeight="1">
      <c r="A7" s="1"/>
      <c r="B7" s="11"/>
      <c r="C7" s="8"/>
      <c r="D7" s="8" t="s">
        <v>51</v>
      </c>
      <c r="E7" s="8" t="s">
        <v>44</v>
      </c>
      <c r="F7" s="8" t="s">
        <v>45</v>
      </c>
      <c r="G7" s="8">
        <v>1.0</v>
      </c>
      <c r="H7" s="12"/>
      <c r="I7" s="12">
        <f t="shared" si="1"/>
        <v>1</v>
      </c>
      <c r="J7" s="13"/>
      <c r="K7" s="12"/>
      <c r="L7" s="12">
        <f t="shared" si="2"/>
        <v>1</v>
      </c>
      <c r="M7" s="13"/>
      <c r="N7" s="12"/>
      <c r="O7" s="12">
        <f t="shared" si="3"/>
        <v>1</v>
      </c>
      <c r="P7" s="13"/>
      <c r="Q7" s="12"/>
      <c r="R7" s="12">
        <f t="shared" si="4"/>
        <v>1</v>
      </c>
      <c r="S7" s="13"/>
      <c r="T7" s="12"/>
      <c r="U7" s="12">
        <f t="shared" si="5"/>
        <v>1</v>
      </c>
      <c r="V7" s="13"/>
      <c r="W7" s="12"/>
      <c r="X7" s="12">
        <f t="shared" si="6"/>
        <v>1</v>
      </c>
      <c r="Y7" s="13"/>
      <c r="Z7" s="12"/>
      <c r="AA7" s="12">
        <f t="shared" si="7"/>
        <v>1</v>
      </c>
      <c r="AB7" s="13"/>
      <c r="AC7" s="12"/>
      <c r="AD7" s="12">
        <f t="shared" si="8"/>
        <v>1</v>
      </c>
      <c r="AE7" s="13"/>
      <c r="AF7" s="12"/>
      <c r="AG7" s="12">
        <f t="shared" si="9"/>
        <v>1</v>
      </c>
      <c r="AH7" s="13"/>
      <c r="AI7" s="12"/>
      <c r="AJ7" s="12">
        <f t="shared" si="10"/>
        <v>1</v>
      </c>
      <c r="AK7" s="13"/>
      <c r="AL7" s="12"/>
      <c r="AM7" s="12">
        <f t="shared" si="11"/>
        <v>1</v>
      </c>
      <c r="AN7" s="13"/>
      <c r="AO7" s="12"/>
      <c r="AP7" s="12">
        <f t="shared" si="12"/>
        <v>1</v>
      </c>
      <c r="AQ7" s="13"/>
      <c r="AR7" s="12"/>
      <c r="AS7" s="12">
        <f t="shared" si="13"/>
        <v>1</v>
      </c>
      <c r="AT7" s="13"/>
      <c r="AU7" s="12"/>
      <c r="AV7" s="12">
        <f t="shared" si="14"/>
        <v>1</v>
      </c>
      <c r="AW7" s="13"/>
      <c r="AX7" s="12"/>
      <c r="AY7" s="12">
        <f t="shared" si="15"/>
        <v>1</v>
      </c>
      <c r="AZ7" s="13"/>
      <c r="BA7" s="12"/>
      <c r="BB7" s="12">
        <f t="shared" si="16"/>
        <v>1</v>
      </c>
      <c r="BC7" s="13"/>
      <c r="BD7" s="12"/>
      <c r="BE7" s="12">
        <f t="shared" si="17"/>
        <v>1</v>
      </c>
      <c r="BF7" s="13"/>
      <c r="BG7" s="12"/>
      <c r="BH7" s="12">
        <f t="shared" si="18"/>
        <v>1</v>
      </c>
      <c r="BI7" s="13"/>
      <c r="BJ7" s="12"/>
      <c r="BK7" s="12">
        <f t="shared" si="19"/>
        <v>1</v>
      </c>
      <c r="BL7" s="13"/>
      <c r="BM7" s="12"/>
      <c r="BN7" s="12">
        <f t="shared" si="20"/>
        <v>1</v>
      </c>
      <c r="BO7" s="13"/>
      <c r="BP7" s="14">
        <f t="shared" si="21"/>
        <v>0</v>
      </c>
      <c r="BQ7" s="14">
        <f t="shared" si="22"/>
        <v>1</v>
      </c>
    </row>
    <row r="8" ht="28.5" customHeight="1">
      <c r="A8" s="1"/>
      <c r="B8" s="11"/>
      <c r="C8" s="8"/>
      <c r="D8" s="8" t="s">
        <v>52</v>
      </c>
      <c r="E8" s="8" t="s">
        <v>44</v>
      </c>
      <c r="F8" s="8" t="s">
        <v>45</v>
      </c>
      <c r="G8" s="8">
        <v>1.0</v>
      </c>
      <c r="H8" s="12"/>
      <c r="I8" s="12">
        <f t="shared" si="1"/>
        <v>1</v>
      </c>
      <c r="J8" s="13"/>
      <c r="K8" s="12"/>
      <c r="L8" s="12">
        <f t="shared" si="2"/>
        <v>1</v>
      </c>
      <c r="M8" s="13"/>
      <c r="N8" s="12"/>
      <c r="O8" s="12">
        <f t="shared" si="3"/>
        <v>1</v>
      </c>
      <c r="P8" s="13"/>
      <c r="Q8" s="12"/>
      <c r="R8" s="12">
        <f t="shared" si="4"/>
        <v>1</v>
      </c>
      <c r="S8" s="13"/>
      <c r="T8" s="12"/>
      <c r="U8" s="12">
        <f t="shared" si="5"/>
        <v>1</v>
      </c>
      <c r="V8" s="13"/>
      <c r="W8" s="12"/>
      <c r="X8" s="12">
        <f t="shared" si="6"/>
        <v>1</v>
      </c>
      <c r="Y8" s="13"/>
      <c r="Z8" s="12"/>
      <c r="AA8" s="12">
        <f t="shared" si="7"/>
        <v>1</v>
      </c>
      <c r="AB8" s="13"/>
      <c r="AC8" s="12"/>
      <c r="AD8" s="12">
        <f t="shared" si="8"/>
        <v>1</v>
      </c>
      <c r="AE8" s="13"/>
      <c r="AF8" s="12"/>
      <c r="AG8" s="12">
        <f t="shared" si="9"/>
        <v>1</v>
      </c>
      <c r="AH8" s="13"/>
      <c r="AI8" s="12"/>
      <c r="AJ8" s="12">
        <f t="shared" si="10"/>
        <v>1</v>
      </c>
      <c r="AK8" s="13"/>
      <c r="AL8" s="12"/>
      <c r="AM8" s="12">
        <f t="shared" si="11"/>
        <v>1</v>
      </c>
      <c r="AN8" s="13"/>
      <c r="AO8" s="12"/>
      <c r="AP8" s="12">
        <f t="shared" si="12"/>
        <v>1</v>
      </c>
      <c r="AQ8" s="13"/>
      <c r="AR8" s="12"/>
      <c r="AS8" s="12">
        <f t="shared" si="13"/>
        <v>1</v>
      </c>
      <c r="AT8" s="13"/>
      <c r="AU8" s="12"/>
      <c r="AV8" s="12">
        <f t="shared" si="14"/>
        <v>1</v>
      </c>
      <c r="AW8" s="13"/>
      <c r="AX8" s="12"/>
      <c r="AY8" s="12">
        <f t="shared" si="15"/>
        <v>1</v>
      </c>
      <c r="AZ8" s="13"/>
      <c r="BA8" s="12"/>
      <c r="BB8" s="12">
        <f t="shared" si="16"/>
        <v>1</v>
      </c>
      <c r="BC8" s="13"/>
      <c r="BD8" s="12"/>
      <c r="BE8" s="12">
        <f t="shared" si="17"/>
        <v>1</v>
      </c>
      <c r="BF8" s="13"/>
      <c r="BG8" s="12"/>
      <c r="BH8" s="12">
        <f t="shared" si="18"/>
        <v>1</v>
      </c>
      <c r="BI8" s="13"/>
      <c r="BJ8" s="12"/>
      <c r="BK8" s="12">
        <f t="shared" si="19"/>
        <v>1</v>
      </c>
      <c r="BL8" s="13"/>
      <c r="BM8" s="12"/>
      <c r="BN8" s="12">
        <f t="shared" si="20"/>
        <v>1</v>
      </c>
      <c r="BO8" s="13"/>
      <c r="BP8" s="14">
        <f t="shared" si="21"/>
        <v>0</v>
      </c>
      <c r="BQ8" s="14">
        <f t="shared" si="22"/>
        <v>1</v>
      </c>
    </row>
    <row r="9" ht="86.25" customHeight="1">
      <c r="A9" s="1"/>
      <c r="B9" s="11" t="s">
        <v>53</v>
      </c>
      <c r="C9" s="8" t="s">
        <v>54</v>
      </c>
      <c r="D9" s="8" t="s">
        <v>55</v>
      </c>
      <c r="E9" s="8" t="s">
        <v>56</v>
      </c>
      <c r="F9" s="8" t="s">
        <v>45</v>
      </c>
      <c r="G9" s="8">
        <v>2.0</v>
      </c>
      <c r="H9" s="12"/>
      <c r="I9" s="12">
        <f t="shared" si="1"/>
        <v>2</v>
      </c>
      <c r="J9" s="13"/>
      <c r="K9" s="12"/>
      <c r="L9" s="12">
        <f t="shared" si="2"/>
        <v>2</v>
      </c>
      <c r="M9" s="13"/>
      <c r="N9" s="12"/>
      <c r="O9" s="12">
        <f t="shared" si="3"/>
        <v>2</v>
      </c>
      <c r="P9" s="13"/>
      <c r="Q9" s="12"/>
      <c r="R9" s="12">
        <f t="shared" si="4"/>
        <v>2</v>
      </c>
      <c r="S9" s="13"/>
      <c r="T9" s="12"/>
      <c r="U9" s="12">
        <f t="shared" si="5"/>
        <v>2</v>
      </c>
      <c r="V9" s="13"/>
      <c r="W9" s="12"/>
      <c r="X9" s="12">
        <f t="shared" si="6"/>
        <v>2</v>
      </c>
      <c r="Y9" s="13"/>
      <c r="Z9" s="12"/>
      <c r="AA9" s="12">
        <f t="shared" si="7"/>
        <v>2</v>
      </c>
      <c r="AB9" s="13"/>
      <c r="AC9" s="12"/>
      <c r="AD9" s="12">
        <f t="shared" si="8"/>
        <v>2</v>
      </c>
      <c r="AE9" s="13"/>
      <c r="AF9" s="12"/>
      <c r="AG9" s="12">
        <f t="shared" si="9"/>
        <v>2</v>
      </c>
      <c r="AH9" s="13"/>
      <c r="AI9" s="12"/>
      <c r="AJ9" s="12">
        <f t="shared" si="10"/>
        <v>2</v>
      </c>
      <c r="AK9" s="13"/>
      <c r="AL9" s="12"/>
      <c r="AM9" s="12">
        <f t="shared" si="11"/>
        <v>2</v>
      </c>
      <c r="AN9" s="13"/>
      <c r="AO9" s="12"/>
      <c r="AP9" s="12">
        <f t="shared" si="12"/>
        <v>2</v>
      </c>
      <c r="AQ9" s="13"/>
      <c r="AR9" s="12"/>
      <c r="AS9" s="12">
        <f t="shared" si="13"/>
        <v>2</v>
      </c>
      <c r="AT9" s="13"/>
      <c r="AU9" s="12"/>
      <c r="AV9" s="12">
        <f t="shared" si="14"/>
        <v>2</v>
      </c>
      <c r="AW9" s="13"/>
      <c r="AX9" s="12"/>
      <c r="AY9" s="12">
        <f t="shared" si="15"/>
        <v>2</v>
      </c>
      <c r="AZ9" s="13"/>
      <c r="BA9" s="12"/>
      <c r="BB9" s="12">
        <f t="shared" si="16"/>
        <v>2</v>
      </c>
      <c r="BC9" s="13"/>
      <c r="BD9" s="12"/>
      <c r="BE9" s="12">
        <f t="shared" si="17"/>
        <v>2</v>
      </c>
      <c r="BF9" s="13"/>
      <c r="BG9" s="12"/>
      <c r="BH9" s="12">
        <f t="shared" si="18"/>
        <v>2</v>
      </c>
      <c r="BI9" s="13"/>
      <c r="BJ9" s="12"/>
      <c r="BK9" s="12">
        <f t="shared" si="19"/>
        <v>2</v>
      </c>
      <c r="BL9" s="13"/>
      <c r="BM9" s="12"/>
      <c r="BN9" s="12">
        <f t="shared" si="20"/>
        <v>2</v>
      </c>
      <c r="BO9" s="13"/>
      <c r="BP9" s="14">
        <f t="shared" si="21"/>
        <v>0</v>
      </c>
      <c r="BQ9" s="14">
        <f t="shared" si="22"/>
        <v>2</v>
      </c>
    </row>
    <row r="10" ht="45.0" customHeight="1">
      <c r="A10" s="1"/>
      <c r="B10" s="11"/>
      <c r="C10" s="8"/>
      <c r="D10" s="8" t="s">
        <v>57</v>
      </c>
      <c r="E10" s="8" t="s">
        <v>56</v>
      </c>
      <c r="F10" s="8" t="s">
        <v>45</v>
      </c>
      <c r="G10" s="8">
        <v>2.0</v>
      </c>
      <c r="H10" s="12"/>
      <c r="I10" s="12">
        <f t="shared" si="1"/>
        <v>2</v>
      </c>
      <c r="J10" s="13"/>
      <c r="K10" s="12"/>
      <c r="L10" s="12">
        <f t="shared" si="2"/>
        <v>2</v>
      </c>
      <c r="M10" s="13"/>
      <c r="N10" s="12"/>
      <c r="O10" s="12">
        <f t="shared" si="3"/>
        <v>2</v>
      </c>
      <c r="P10" s="13"/>
      <c r="Q10" s="12"/>
      <c r="R10" s="12">
        <f t="shared" si="4"/>
        <v>2</v>
      </c>
      <c r="S10" s="13"/>
      <c r="T10" s="12"/>
      <c r="U10" s="12">
        <f t="shared" si="5"/>
        <v>2</v>
      </c>
      <c r="V10" s="13"/>
      <c r="W10" s="12"/>
      <c r="X10" s="12">
        <f t="shared" si="6"/>
        <v>2</v>
      </c>
      <c r="Y10" s="13"/>
      <c r="Z10" s="12"/>
      <c r="AA10" s="12">
        <f t="shared" si="7"/>
        <v>2</v>
      </c>
      <c r="AB10" s="13"/>
      <c r="AC10" s="12"/>
      <c r="AD10" s="12">
        <f t="shared" si="8"/>
        <v>2</v>
      </c>
      <c r="AE10" s="13"/>
      <c r="AF10" s="12"/>
      <c r="AG10" s="12">
        <f t="shared" si="9"/>
        <v>2</v>
      </c>
      <c r="AH10" s="13"/>
      <c r="AI10" s="12"/>
      <c r="AJ10" s="12">
        <f t="shared" si="10"/>
        <v>2</v>
      </c>
      <c r="AK10" s="13"/>
      <c r="AL10" s="12"/>
      <c r="AM10" s="12">
        <f t="shared" si="11"/>
        <v>2</v>
      </c>
      <c r="AN10" s="13"/>
      <c r="AO10" s="12"/>
      <c r="AP10" s="12">
        <f t="shared" si="12"/>
        <v>2</v>
      </c>
      <c r="AQ10" s="13"/>
      <c r="AR10" s="12"/>
      <c r="AS10" s="12">
        <f t="shared" si="13"/>
        <v>2</v>
      </c>
      <c r="AT10" s="13"/>
      <c r="AU10" s="12"/>
      <c r="AV10" s="12">
        <f t="shared" si="14"/>
        <v>2</v>
      </c>
      <c r="AW10" s="13"/>
      <c r="AX10" s="12"/>
      <c r="AY10" s="12">
        <f t="shared" si="15"/>
        <v>2</v>
      </c>
      <c r="AZ10" s="13"/>
      <c r="BA10" s="12"/>
      <c r="BB10" s="12">
        <f t="shared" si="16"/>
        <v>2</v>
      </c>
      <c r="BC10" s="13"/>
      <c r="BD10" s="12"/>
      <c r="BE10" s="12">
        <f t="shared" si="17"/>
        <v>2</v>
      </c>
      <c r="BF10" s="13"/>
      <c r="BG10" s="12"/>
      <c r="BH10" s="12">
        <f t="shared" si="18"/>
        <v>2</v>
      </c>
      <c r="BI10" s="13"/>
      <c r="BJ10" s="12"/>
      <c r="BK10" s="12">
        <f t="shared" si="19"/>
        <v>2</v>
      </c>
      <c r="BL10" s="13"/>
      <c r="BM10" s="12"/>
      <c r="BN10" s="12">
        <f t="shared" si="20"/>
        <v>2</v>
      </c>
      <c r="BO10" s="13"/>
      <c r="BP10" s="14">
        <f t="shared" si="21"/>
        <v>0</v>
      </c>
      <c r="BQ10" s="14">
        <f t="shared" si="22"/>
        <v>2</v>
      </c>
    </row>
    <row r="11" ht="14.25" customHeight="1">
      <c r="A11" s="1"/>
      <c r="B11" s="11"/>
      <c r="C11" s="8"/>
      <c r="D11" s="8" t="s">
        <v>58</v>
      </c>
      <c r="E11" s="8" t="s">
        <v>56</v>
      </c>
      <c r="F11" s="8" t="s">
        <v>45</v>
      </c>
      <c r="G11" s="8">
        <v>1.0</v>
      </c>
      <c r="H11" s="12"/>
      <c r="I11" s="12">
        <f t="shared" si="1"/>
        <v>1</v>
      </c>
      <c r="J11" s="13"/>
      <c r="K11" s="12"/>
      <c r="L11" s="12">
        <f t="shared" si="2"/>
        <v>1</v>
      </c>
      <c r="M11" s="13"/>
      <c r="N11" s="12"/>
      <c r="O11" s="12">
        <f t="shared" si="3"/>
        <v>1</v>
      </c>
      <c r="P11" s="13"/>
      <c r="Q11" s="12"/>
      <c r="R11" s="12">
        <f t="shared" si="4"/>
        <v>1</v>
      </c>
      <c r="S11" s="13"/>
      <c r="T11" s="12"/>
      <c r="U11" s="12">
        <f t="shared" si="5"/>
        <v>1</v>
      </c>
      <c r="V11" s="13"/>
      <c r="W11" s="12"/>
      <c r="X11" s="12">
        <f t="shared" si="6"/>
        <v>1</v>
      </c>
      <c r="Y11" s="13"/>
      <c r="Z11" s="12"/>
      <c r="AA11" s="12">
        <f t="shared" si="7"/>
        <v>1</v>
      </c>
      <c r="AB11" s="13"/>
      <c r="AC11" s="12"/>
      <c r="AD11" s="12">
        <f t="shared" si="8"/>
        <v>1</v>
      </c>
      <c r="AE11" s="13"/>
      <c r="AF11" s="12"/>
      <c r="AG11" s="12">
        <f t="shared" si="9"/>
        <v>1</v>
      </c>
      <c r="AH11" s="13"/>
      <c r="AI11" s="12"/>
      <c r="AJ11" s="12">
        <f t="shared" si="10"/>
        <v>1</v>
      </c>
      <c r="AK11" s="13"/>
      <c r="AL11" s="12"/>
      <c r="AM11" s="12">
        <f t="shared" si="11"/>
        <v>1</v>
      </c>
      <c r="AN11" s="13"/>
      <c r="AO11" s="12"/>
      <c r="AP11" s="12">
        <f t="shared" si="12"/>
        <v>1</v>
      </c>
      <c r="AQ11" s="13"/>
      <c r="AR11" s="12"/>
      <c r="AS11" s="12">
        <f t="shared" si="13"/>
        <v>1</v>
      </c>
      <c r="AT11" s="13"/>
      <c r="AU11" s="12"/>
      <c r="AV11" s="12">
        <f t="shared" si="14"/>
        <v>1</v>
      </c>
      <c r="AW11" s="13"/>
      <c r="AX11" s="12"/>
      <c r="AY11" s="12">
        <f t="shared" si="15"/>
        <v>1</v>
      </c>
      <c r="AZ11" s="13"/>
      <c r="BA11" s="12"/>
      <c r="BB11" s="12">
        <f t="shared" si="16"/>
        <v>1</v>
      </c>
      <c r="BC11" s="13"/>
      <c r="BD11" s="12"/>
      <c r="BE11" s="12">
        <f t="shared" si="17"/>
        <v>1</v>
      </c>
      <c r="BF11" s="13"/>
      <c r="BG11" s="12"/>
      <c r="BH11" s="12">
        <f t="shared" si="18"/>
        <v>1</v>
      </c>
      <c r="BI11" s="13"/>
      <c r="BJ11" s="12"/>
      <c r="BK11" s="12">
        <f t="shared" si="19"/>
        <v>1</v>
      </c>
      <c r="BL11" s="13"/>
      <c r="BM11" s="12"/>
      <c r="BN11" s="12">
        <f t="shared" si="20"/>
        <v>1</v>
      </c>
      <c r="BO11" s="13"/>
      <c r="BP11" s="14">
        <f t="shared" si="21"/>
        <v>0</v>
      </c>
      <c r="BQ11" s="14">
        <f t="shared" si="22"/>
        <v>1</v>
      </c>
    </row>
    <row r="12" ht="86.25" customHeight="1">
      <c r="A12" s="1"/>
      <c r="B12" s="11" t="s">
        <v>59</v>
      </c>
      <c r="C12" s="8" t="s">
        <v>60</v>
      </c>
      <c r="D12" s="8" t="s">
        <v>61</v>
      </c>
      <c r="E12" s="8" t="s">
        <v>62</v>
      </c>
      <c r="F12" s="8" t="s">
        <v>45</v>
      </c>
      <c r="G12" s="8">
        <v>4.0</v>
      </c>
      <c r="H12" s="12"/>
      <c r="I12" s="12">
        <f t="shared" si="1"/>
        <v>4</v>
      </c>
      <c r="J12" s="13"/>
      <c r="K12" s="12"/>
      <c r="L12" s="12">
        <f t="shared" si="2"/>
        <v>4</v>
      </c>
      <c r="M12" s="13"/>
      <c r="N12" s="12"/>
      <c r="O12" s="12">
        <f t="shared" si="3"/>
        <v>4</v>
      </c>
      <c r="P12" s="13"/>
      <c r="Q12" s="12"/>
      <c r="R12" s="12">
        <f t="shared" si="4"/>
        <v>4</v>
      </c>
      <c r="S12" s="13"/>
      <c r="T12" s="12"/>
      <c r="U12" s="12">
        <f t="shared" si="5"/>
        <v>4</v>
      </c>
      <c r="V12" s="13"/>
      <c r="W12" s="12"/>
      <c r="X12" s="12">
        <f t="shared" si="6"/>
        <v>4</v>
      </c>
      <c r="Y12" s="13"/>
      <c r="Z12" s="12"/>
      <c r="AA12" s="12">
        <f t="shared" si="7"/>
        <v>4</v>
      </c>
      <c r="AB12" s="13"/>
      <c r="AC12" s="12"/>
      <c r="AD12" s="12">
        <f t="shared" si="8"/>
        <v>4</v>
      </c>
      <c r="AE12" s="13"/>
      <c r="AF12" s="12"/>
      <c r="AG12" s="12">
        <f t="shared" si="9"/>
        <v>4</v>
      </c>
      <c r="AH12" s="13"/>
      <c r="AI12" s="12"/>
      <c r="AJ12" s="12">
        <f t="shared" si="10"/>
        <v>4</v>
      </c>
      <c r="AK12" s="13"/>
      <c r="AL12" s="12"/>
      <c r="AM12" s="12">
        <f t="shared" si="11"/>
        <v>4</v>
      </c>
      <c r="AN12" s="13"/>
      <c r="AO12" s="12"/>
      <c r="AP12" s="12">
        <f t="shared" si="12"/>
        <v>4</v>
      </c>
      <c r="AQ12" s="13"/>
      <c r="AR12" s="12"/>
      <c r="AS12" s="12">
        <f t="shared" si="13"/>
        <v>4</v>
      </c>
      <c r="AT12" s="13"/>
      <c r="AU12" s="12"/>
      <c r="AV12" s="12">
        <f t="shared" si="14"/>
        <v>4</v>
      </c>
      <c r="AW12" s="13"/>
      <c r="AX12" s="12"/>
      <c r="AY12" s="12">
        <f t="shared" si="15"/>
        <v>4</v>
      </c>
      <c r="AZ12" s="13"/>
      <c r="BA12" s="12"/>
      <c r="BB12" s="12">
        <f t="shared" si="16"/>
        <v>4</v>
      </c>
      <c r="BC12" s="13"/>
      <c r="BD12" s="12"/>
      <c r="BE12" s="12">
        <f t="shared" si="17"/>
        <v>4</v>
      </c>
      <c r="BF12" s="13"/>
      <c r="BG12" s="12"/>
      <c r="BH12" s="12">
        <f t="shared" si="18"/>
        <v>4</v>
      </c>
      <c r="BI12" s="13"/>
      <c r="BJ12" s="12"/>
      <c r="BK12" s="12">
        <f t="shared" si="19"/>
        <v>4</v>
      </c>
      <c r="BL12" s="13"/>
      <c r="BM12" s="12"/>
      <c r="BN12" s="12">
        <f t="shared" si="20"/>
        <v>4</v>
      </c>
      <c r="BO12" s="13"/>
      <c r="BP12" s="14">
        <f t="shared" si="21"/>
        <v>0</v>
      </c>
      <c r="BQ12" s="14">
        <f t="shared" si="22"/>
        <v>4</v>
      </c>
    </row>
    <row r="13" ht="28.5" customHeight="1">
      <c r="A13" s="1"/>
      <c r="B13" s="11"/>
      <c r="C13" s="8"/>
      <c r="D13" s="8" t="s">
        <v>63</v>
      </c>
      <c r="E13" s="8" t="s">
        <v>62</v>
      </c>
      <c r="F13" s="8" t="s">
        <v>45</v>
      </c>
      <c r="G13" s="8">
        <v>4.0</v>
      </c>
      <c r="H13" s="12"/>
      <c r="I13" s="12">
        <f t="shared" si="1"/>
        <v>4</v>
      </c>
      <c r="J13" s="13"/>
      <c r="K13" s="12"/>
      <c r="L13" s="12">
        <f t="shared" si="2"/>
        <v>4</v>
      </c>
      <c r="M13" s="13"/>
      <c r="N13" s="12"/>
      <c r="O13" s="12">
        <f t="shared" si="3"/>
        <v>4</v>
      </c>
      <c r="P13" s="13"/>
      <c r="Q13" s="12"/>
      <c r="R13" s="12">
        <f t="shared" si="4"/>
        <v>4</v>
      </c>
      <c r="S13" s="13"/>
      <c r="T13" s="12"/>
      <c r="U13" s="12">
        <f t="shared" si="5"/>
        <v>4</v>
      </c>
      <c r="V13" s="13"/>
      <c r="W13" s="12"/>
      <c r="X13" s="12">
        <f t="shared" si="6"/>
        <v>4</v>
      </c>
      <c r="Y13" s="13"/>
      <c r="Z13" s="12"/>
      <c r="AA13" s="12">
        <f t="shared" si="7"/>
        <v>4</v>
      </c>
      <c r="AB13" s="13"/>
      <c r="AC13" s="12"/>
      <c r="AD13" s="12">
        <f t="shared" si="8"/>
        <v>4</v>
      </c>
      <c r="AE13" s="13"/>
      <c r="AF13" s="12"/>
      <c r="AG13" s="12">
        <f t="shared" si="9"/>
        <v>4</v>
      </c>
      <c r="AH13" s="13"/>
      <c r="AI13" s="12"/>
      <c r="AJ13" s="12">
        <f t="shared" si="10"/>
        <v>4</v>
      </c>
      <c r="AK13" s="13"/>
      <c r="AL13" s="12"/>
      <c r="AM13" s="12">
        <f t="shared" si="11"/>
        <v>4</v>
      </c>
      <c r="AN13" s="13"/>
      <c r="AO13" s="12"/>
      <c r="AP13" s="12">
        <f t="shared" si="12"/>
        <v>4</v>
      </c>
      <c r="AQ13" s="13"/>
      <c r="AR13" s="12"/>
      <c r="AS13" s="12">
        <f t="shared" si="13"/>
        <v>4</v>
      </c>
      <c r="AT13" s="13"/>
      <c r="AU13" s="12"/>
      <c r="AV13" s="12">
        <f t="shared" si="14"/>
        <v>4</v>
      </c>
      <c r="AW13" s="13"/>
      <c r="AX13" s="12"/>
      <c r="AY13" s="12">
        <f t="shared" si="15"/>
        <v>4</v>
      </c>
      <c r="AZ13" s="13"/>
      <c r="BA13" s="12"/>
      <c r="BB13" s="12">
        <f t="shared" si="16"/>
        <v>4</v>
      </c>
      <c r="BC13" s="13"/>
      <c r="BD13" s="12"/>
      <c r="BE13" s="12">
        <f t="shared" si="17"/>
        <v>4</v>
      </c>
      <c r="BF13" s="13"/>
      <c r="BG13" s="12"/>
      <c r="BH13" s="12">
        <f t="shared" si="18"/>
        <v>4</v>
      </c>
      <c r="BI13" s="13"/>
      <c r="BJ13" s="12"/>
      <c r="BK13" s="12">
        <f t="shared" si="19"/>
        <v>4</v>
      </c>
      <c r="BL13" s="13"/>
      <c r="BM13" s="12"/>
      <c r="BN13" s="12">
        <f t="shared" si="20"/>
        <v>4</v>
      </c>
      <c r="BO13" s="13"/>
      <c r="BP13" s="14">
        <f t="shared" si="21"/>
        <v>0</v>
      </c>
      <c r="BQ13" s="14">
        <f t="shared" si="22"/>
        <v>4</v>
      </c>
    </row>
    <row r="14" ht="45.0" customHeight="1">
      <c r="A14" s="1"/>
      <c r="B14" s="11"/>
      <c r="C14" s="8"/>
      <c r="D14" s="8" t="s">
        <v>64</v>
      </c>
      <c r="E14" s="8" t="s">
        <v>62</v>
      </c>
      <c r="F14" s="8" t="s">
        <v>45</v>
      </c>
      <c r="G14" s="8">
        <v>2.0</v>
      </c>
      <c r="H14" s="12"/>
      <c r="I14" s="12">
        <f t="shared" si="1"/>
        <v>2</v>
      </c>
      <c r="J14" s="13"/>
      <c r="K14" s="12"/>
      <c r="L14" s="12">
        <f t="shared" si="2"/>
        <v>2</v>
      </c>
      <c r="M14" s="13"/>
      <c r="N14" s="12"/>
      <c r="O14" s="12">
        <f t="shared" si="3"/>
        <v>2</v>
      </c>
      <c r="P14" s="13"/>
      <c r="Q14" s="12"/>
      <c r="R14" s="12">
        <f t="shared" si="4"/>
        <v>2</v>
      </c>
      <c r="S14" s="13"/>
      <c r="T14" s="12"/>
      <c r="U14" s="12">
        <f t="shared" si="5"/>
        <v>2</v>
      </c>
      <c r="V14" s="13"/>
      <c r="W14" s="12"/>
      <c r="X14" s="12">
        <f t="shared" si="6"/>
        <v>2</v>
      </c>
      <c r="Y14" s="13"/>
      <c r="Z14" s="12"/>
      <c r="AA14" s="12">
        <f t="shared" si="7"/>
        <v>2</v>
      </c>
      <c r="AB14" s="13"/>
      <c r="AC14" s="12"/>
      <c r="AD14" s="12">
        <f t="shared" si="8"/>
        <v>2</v>
      </c>
      <c r="AE14" s="13"/>
      <c r="AF14" s="12"/>
      <c r="AG14" s="12">
        <f t="shared" si="9"/>
        <v>2</v>
      </c>
      <c r="AH14" s="13"/>
      <c r="AI14" s="12"/>
      <c r="AJ14" s="12">
        <f t="shared" si="10"/>
        <v>2</v>
      </c>
      <c r="AK14" s="13"/>
      <c r="AL14" s="12"/>
      <c r="AM14" s="12">
        <f t="shared" si="11"/>
        <v>2</v>
      </c>
      <c r="AN14" s="13"/>
      <c r="AO14" s="12"/>
      <c r="AP14" s="12">
        <f t="shared" si="12"/>
        <v>2</v>
      </c>
      <c r="AQ14" s="13"/>
      <c r="AR14" s="12"/>
      <c r="AS14" s="12">
        <f t="shared" si="13"/>
        <v>2</v>
      </c>
      <c r="AT14" s="13"/>
      <c r="AU14" s="12"/>
      <c r="AV14" s="12">
        <f t="shared" si="14"/>
        <v>2</v>
      </c>
      <c r="AW14" s="13"/>
      <c r="AX14" s="12"/>
      <c r="AY14" s="12">
        <f t="shared" si="15"/>
        <v>2</v>
      </c>
      <c r="AZ14" s="13"/>
      <c r="BA14" s="12"/>
      <c r="BB14" s="12">
        <f t="shared" si="16"/>
        <v>2</v>
      </c>
      <c r="BC14" s="13"/>
      <c r="BD14" s="12"/>
      <c r="BE14" s="12">
        <f t="shared" si="17"/>
        <v>2</v>
      </c>
      <c r="BF14" s="13"/>
      <c r="BG14" s="12"/>
      <c r="BH14" s="12">
        <f t="shared" si="18"/>
        <v>2</v>
      </c>
      <c r="BI14" s="13"/>
      <c r="BJ14" s="12"/>
      <c r="BK14" s="12">
        <f t="shared" si="19"/>
        <v>2</v>
      </c>
      <c r="BL14" s="13"/>
      <c r="BM14" s="12"/>
      <c r="BN14" s="12">
        <f t="shared" si="20"/>
        <v>2</v>
      </c>
      <c r="BO14" s="13"/>
      <c r="BP14" s="14">
        <f t="shared" si="21"/>
        <v>0</v>
      </c>
      <c r="BQ14" s="14">
        <f t="shared" si="22"/>
        <v>2</v>
      </c>
    </row>
    <row r="15" ht="100.5" customHeight="1">
      <c r="A15" s="1"/>
      <c r="B15" s="11" t="s">
        <v>65</v>
      </c>
      <c r="C15" s="8" t="s">
        <v>66</v>
      </c>
      <c r="D15" s="8" t="s">
        <v>67</v>
      </c>
      <c r="E15" s="8" t="s">
        <v>44</v>
      </c>
      <c r="F15" s="8" t="s">
        <v>45</v>
      </c>
      <c r="G15" s="8">
        <v>3.0</v>
      </c>
      <c r="H15" s="12"/>
      <c r="I15" s="12">
        <f t="shared" si="1"/>
        <v>3</v>
      </c>
      <c r="J15" s="13"/>
      <c r="K15" s="12"/>
      <c r="L15" s="12">
        <f t="shared" si="2"/>
        <v>3</v>
      </c>
      <c r="M15" s="13"/>
      <c r="N15" s="12"/>
      <c r="O15" s="12">
        <f t="shared" si="3"/>
        <v>3</v>
      </c>
      <c r="P15" s="13"/>
      <c r="Q15" s="12"/>
      <c r="R15" s="12">
        <f t="shared" si="4"/>
        <v>3</v>
      </c>
      <c r="S15" s="13"/>
      <c r="T15" s="12"/>
      <c r="U15" s="12">
        <f t="shared" si="5"/>
        <v>3</v>
      </c>
      <c r="V15" s="13"/>
      <c r="W15" s="12"/>
      <c r="X15" s="12">
        <f t="shared" si="6"/>
        <v>3</v>
      </c>
      <c r="Y15" s="13"/>
      <c r="Z15" s="12"/>
      <c r="AA15" s="12">
        <f t="shared" si="7"/>
        <v>3</v>
      </c>
      <c r="AB15" s="13"/>
      <c r="AC15" s="12"/>
      <c r="AD15" s="12">
        <f t="shared" si="8"/>
        <v>3</v>
      </c>
      <c r="AE15" s="13"/>
      <c r="AF15" s="12"/>
      <c r="AG15" s="12">
        <f t="shared" si="9"/>
        <v>3</v>
      </c>
      <c r="AH15" s="13"/>
      <c r="AI15" s="12"/>
      <c r="AJ15" s="12">
        <f t="shared" si="10"/>
        <v>3</v>
      </c>
      <c r="AK15" s="13"/>
      <c r="AL15" s="12"/>
      <c r="AM15" s="12">
        <f t="shared" si="11"/>
        <v>3</v>
      </c>
      <c r="AN15" s="13"/>
      <c r="AO15" s="12"/>
      <c r="AP15" s="12">
        <f t="shared" si="12"/>
        <v>3</v>
      </c>
      <c r="AQ15" s="13"/>
      <c r="AR15" s="12"/>
      <c r="AS15" s="12">
        <f t="shared" si="13"/>
        <v>3</v>
      </c>
      <c r="AT15" s="13"/>
      <c r="AU15" s="12"/>
      <c r="AV15" s="12">
        <f t="shared" si="14"/>
        <v>3</v>
      </c>
      <c r="AW15" s="13"/>
      <c r="AX15" s="12"/>
      <c r="AY15" s="12">
        <f t="shared" si="15"/>
        <v>3</v>
      </c>
      <c r="AZ15" s="13"/>
      <c r="BA15" s="12"/>
      <c r="BB15" s="12">
        <f t="shared" si="16"/>
        <v>3</v>
      </c>
      <c r="BC15" s="13"/>
      <c r="BD15" s="12"/>
      <c r="BE15" s="12">
        <f t="shared" si="17"/>
        <v>3</v>
      </c>
      <c r="BF15" s="13"/>
      <c r="BG15" s="12"/>
      <c r="BH15" s="12">
        <f t="shared" si="18"/>
        <v>3</v>
      </c>
      <c r="BI15" s="13"/>
      <c r="BJ15" s="12"/>
      <c r="BK15" s="12">
        <f t="shared" si="19"/>
        <v>3</v>
      </c>
      <c r="BL15" s="13"/>
      <c r="BM15" s="12"/>
      <c r="BN15" s="12">
        <f t="shared" si="20"/>
        <v>3</v>
      </c>
      <c r="BO15" s="13"/>
      <c r="BP15" s="14">
        <f t="shared" si="21"/>
        <v>0</v>
      </c>
      <c r="BQ15" s="14">
        <f t="shared" si="22"/>
        <v>3</v>
      </c>
    </row>
    <row r="16" ht="28.5" customHeight="1">
      <c r="A16" s="1"/>
      <c r="B16" s="11"/>
      <c r="C16" s="8"/>
      <c r="D16" s="8" t="s">
        <v>68</v>
      </c>
      <c r="E16" s="8" t="s">
        <v>44</v>
      </c>
      <c r="F16" s="8" t="s">
        <v>45</v>
      </c>
      <c r="G16" s="8">
        <v>4.0</v>
      </c>
      <c r="H16" s="12"/>
      <c r="I16" s="12">
        <f t="shared" si="1"/>
        <v>4</v>
      </c>
      <c r="J16" s="13"/>
      <c r="K16" s="12"/>
      <c r="L16" s="12">
        <f t="shared" si="2"/>
        <v>4</v>
      </c>
      <c r="M16" s="13"/>
      <c r="N16" s="12"/>
      <c r="O16" s="12">
        <f t="shared" si="3"/>
        <v>4</v>
      </c>
      <c r="P16" s="13"/>
      <c r="Q16" s="12"/>
      <c r="R16" s="12">
        <f t="shared" si="4"/>
        <v>4</v>
      </c>
      <c r="S16" s="13"/>
      <c r="T16" s="12"/>
      <c r="U16" s="12">
        <f t="shared" si="5"/>
        <v>4</v>
      </c>
      <c r="V16" s="13"/>
      <c r="W16" s="12"/>
      <c r="X16" s="12">
        <f t="shared" si="6"/>
        <v>4</v>
      </c>
      <c r="Y16" s="13"/>
      <c r="Z16" s="12"/>
      <c r="AA16" s="12">
        <f t="shared" si="7"/>
        <v>4</v>
      </c>
      <c r="AB16" s="13"/>
      <c r="AC16" s="12"/>
      <c r="AD16" s="12">
        <f t="shared" si="8"/>
        <v>4</v>
      </c>
      <c r="AE16" s="13"/>
      <c r="AF16" s="12"/>
      <c r="AG16" s="12">
        <f t="shared" si="9"/>
        <v>4</v>
      </c>
      <c r="AH16" s="13"/>
      <c r="AI16" s="12"/>
      <c r="AJ16" s="12">
        <f t="shared" si="10"/>
        <v>4</v>
      </c>
      <c r="AK16" s="13"/>
      <c r="AL16" s="12"/>
      <c r="AM16" s="12">
        <f t="shared" si="11"/>
        <v>4</v>
      </c>
      <c r="AN16" s="13"/>
      <c r="AO16" s="12"/>
      <c r="AP16" s="12">
        <f t="shared" si="12"/>
        <v>4</v>
      </c>
      <c r="AQ16" s="13"/>
      <c r="AR16" s="12"/>
      <c r="AS16" s="12">
        <f t="shared" si="13"/>
        <v>4</v>
      </c>
      <c r="AT16" s="13"/>
      <c r="AU16" s="12"/>
      <c r="AV16" s="12">
        <f t="shared" si="14"/>
        <v>4</v>
      </c>
      <c r="AW16" s="13"/>
      <c r="AX16" s="12"/>
      <c r="AY16" s="12">
        <f t="shared" si="15"/>
        <v>4</v>
      </c>
      <c r="AZ16" s="13"/>
      <c r="BA16" s="12"/>
      <c r="BB16" s="12">
        <f t="shared" si="16"/>
        <v>4</v>
      </c>
      <c r="BC16" s="13"/>
      <c r="BD16" s="12"/>
      <c r="BE16" s="12">
        <f t="shared" si="17"/>
        <v>4</v>
      </c>
      <c r="BF16" s="13"/>
      <c r="BG16" s="12"/>
      <c r="BH16" s="12">
        <f t="shared" si="18"/>
        <v>4</v>
      </c>
      <c r="BI16" s="13"/>
      <c r="BJ16" s="12"/>
      <c r="BK16" s="12">
        <f t="shared" si="19"/>
        <v>4</v>
      </c>
      <c r="BL16" s="13"/>
      <c r="BM16" s="12"/>
      <c r="BN16" s="12">
        <f t="shared" si="20"/>
        <v>4</v>
      </c>
      <c r="BO16" s="13"/>
      <c r="BP16" s="14">
        <f t="shared" si="21"/>
        <v>0</v>
      </c>
      <c r="BQ16" s="14">
        <f t="shared" si="22"/>
        <v>4</v>
      </c>
    </row>
    <row r="17" ht="28.5" customHeight="1">
      <c r="A17" s="1"/>
      <c r="B17" s="11"/>
      <c r="C17" s="8"/>
      <c r="D17" s="8" t="s">
        <v>69</v>
      </c>
      <c r="E17" s="8" t="s">
        <v>44</v>
      </c>
      <c r="F17" s="8" t="s">
        <v>45</v>
      </c>
      <c r="G17" s="8">
        <v>1.0</v>
      </c>
      <c r="H17" s="12"/>
      <c r="I17" s="12">
        <f t="shared" si="1"/>
        <v>1</v>
      </c>
      <c r="J17" s="13"/>
      <c r="K17" s="12"/>
      <c r="L17" s="12">
        <f t="shared" si="2"/>
        <v>1</v>
      </c>
      <c r="M17" s="13"/>
      <c r="N17" s="12"/>
      <c r="O17" s="12">
        <f t="shared" si="3"/>
        <v>1</v>
      </c>
      <c r="P17" s="13"/>
      <c r="Q17" s="12"/>
      <c r="R17" s="12">
        <f t="shared" si="4"/>
        <v>1</v>
      </c>
      <c r="S17" s="13"/>
      <c r="T17" s="12"/>
      <c r="U17" s="12">
        <f t="shared" si="5"/>
        <v>1</v>
      </c>
      <c r="V17" s="13"/>
      <c r="W17" s="12"/>
      <c r="X17" s="12">
        <f t="shared" si="6"/>
        <v>1</v>
      </c>
      <c r="Y17" s="13"/>
      <c r="Z17" s="12"/>
      <c r="AA17" s="12">
        <f t="shared" si="7"/>
        <v>1</v>
      </c>
      <c r="AB17" s="13"/>
      <c r="AC17" s="12"/>
      <c r="AD17" s="12">
        <f t="shared" si="8"/>
        <v>1</v>
      </c>
      <c r="AE17" s="13"/>
      <c r="AF17" s="12"/>
      <c r="AG17" s="12">
        <f t="shared" si="9"/>
        <v>1</v>
      </c>
      <c r="AH17" s="13"/>
      <c r="AI17" s="12"/>
      <c r="AJ17" s="12">
        <f t="shared" si="10"/>
        <v>1</v>
      </c>
      <c r="AK17" s="13"/>
      <c r="AL17" s="12"/>
      <c r="AM17" s="12">
        <f t="shared" si="11"/>
        <v>1</v>
      </c>
      <c r="AN17" s="13"/>
      <c r="AO17" s="12"/>
      <c r="AP17" s="12">
        <f t="shared" si="12"/>
        <v>1</v>
      </c>
      <c r="AQ17" s="13"/>
      <c r="AR17" s="12"/>
      <c r="AS17" s="12">
        <f t="shared" si="13"/>
        <v>1</v>
      </c>
      <c r="AT17" s="13"/>
      <c r="AU17" s="12"/>
      <c r="AV17" s="12">
        <f t="shared" si="14"/>
        <v>1</v>
      </c>
      <c r="AW17" s="13"/>
      <c r="AX17" s="12"/>
      <c r="AY17" s="12">
        <f t="shared" si="15"/>
        <v>1</v>
      </c>
      <c r="AZ17" s="13"/>
      <c r="BA17" s="12"/>
      <c r="BB17" s="12">
        <f t="shared" si="16"/>
        <v>1</v>
      </c>
      <c r="BC17" s="13"/>
      <c r="BD17" s="12"/>
      <c r="BE17" s="12">
        <f t="shared" si="17"/>
        <v>1</v>
      </c>
      <c r="BF17" s="13"/>
      <c r="BG17" s="12"/>
      <c r="BH17" s="12">
        <f t="shared" si="18"/>
        <v>1</v>
      </c>
      <c r="BI17" s="13"/>
      <c r="BJ17" s="12"/>
      <c r="BK17" s="12">
        <f t="shared" si="19"/>
        <v>1</v>
      </c>
      <c r="BL17" s="13"/>
      <c r="BM17" s="12"/>
      <c r="BN17" s="12">
        <f t="shared" si="20"/>
        <v>1</v>
      </c>
      <c r="BO17" s="13"/>
      <c r="BP17" s="14">
        <f t="shared" si="21"/>
        <v>0</v>
      </c>
      <c r="BQ17" s="14">
        <f t="shared" si="22"/>
        <v>1</v>
      </c>
    </row>
    <row r="18" ht="14.25" customHeight="1">
      <c r="A18" s="1"/>
      <c r="B18" s="15" t="s">
        <v>70</v>
      </c>
      <c r="C18" s="16" t="s">
        <v>71</v>
      </c>
      <c r="D18" s="16" t="s">
        <v>72</v>
      </c>
      <c r="E18" s="16" t="s">
        <v>73</v>
      </c>
      <c r="F18" s="16" t="s">
        <v>45</v>
      </c>
      <c r="G18" s="16">
        <v>2.0</v>
      </c>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ht="14.25" customHeight="1">
      <c r="A19" s="1"/>
      <c r="B19" s="17"/>
      <c r="C19" s="1"/>
      <c r="D19" s="16" t="s">
        <v>74</v>
      </c>
      <c r="E19" s="16" t="s">
        <v>75</v>
      </c>
      <c r="F19" s="16" t="s">
        <v>45</v>
      </c>
      <c r="G19" s="16">
        <v>3.0</v>
      </c>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ht="14.25" customHeight="1">
      <c r="A20" s="1"/>
      <c r="B20" s="1"/>
      <c r="C20" s="1"/>
      <c r="D20" s="16" t="s">
        <v>76</v>
      </c>
      <c r="E20" s="16" t="s">
        <v>73</v>
      </c>
      <c r="F20" s="16" t="s">
        <v>45</v>
      </c>
      <c r="G20" s="16">
        <v>2.0</v>
      </c>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4.25" customHeight="1">
      <c r="A21" s="1"/>
      <c r="B21" s="11" t="s">
        <v>77</v>
      </c>
      <c r="C21" s="8"/>
      <c r="D21" s="8"/>
      <c r="E21" s="8"/>
      <c r="F21" s="8"/>
      <c r="G21" s="8"/>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4.25" customHeight="1">
      <c r="A22" s="1"/>
      <c r="B22" s="11" t="s">
        <v>78</v>
      </c>
      <c r="C22" s="8" t="s">
        <v>79</v>
      </c>
      <c r="D22" s="8" t="s">
        <v>80</v>
      </c>
      <c r="E22" s="8" t="s">
        <v>81</v>
      </c>
      <c r="F22" s="18" t="s">
        <v>45</v>
      </c>
      <c r="G22" s="8">
        <v>2.0</v>
      </c>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4.25" customHeight="1">
      <c r="A23" s="1"/>
      <c r="B23" s="11"/>
      <c r="C23" s="8"/>
      <c r="D23" s="8" t="s">
        <v>82</v>
      </c>
      <c r="E23" s="8" t="s">
        <v>81</v>
      </c>
      <c r="F23" s="18" t="s">
        <v>45</v>
      </c>
      <c r="G23" s="8">
        <v>2.0</v>
      </c>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4.25" customHeight="1">
      <c r="A24" s="1"/>
      <c r="B24" s="11"/>
      <c r="C24" s="8"/>
      <c r="D24" s="8" t="s">
        <v>83</v>
      </c>
      <c r="E24" s="8" t="s">
        <v>81</v>
      </c>
      <c r="F24" s="18" t="s">
        <v>45</v>
      </c>
      <c r="G24" s="8">
        <v>1.0</v>
      </c>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4.25" customHeight="1">
      <c r="A25" s="1"/>
      <c r="B25" s="11" t="s">
        <v>84</v>
      </c>
      <c r="C25" s="8" t="s">
        <v>85</v>
      </c>
      <c r="D25" s="8" t="s">
        <v>86</v>
      </c>
      <c r="E25" s="8" t="s">
        <v>87</v>
      </c>
      <c r="F25" s="18" t="s">
        <v>45</v>
      </c>
      <c r="G25" s="8">
        <v>2.0</v>
      </c>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4.25" customHeight="1">
      <c r="A26" s="1"/>
      <c r="B26" s="11"/>
      <c r="C26" s="8"/>
      <c r="D26" s="8" t="s">
        <v>88</v>
      </c>
      <c r="E26" s="8" t="s">
        <v>87</v>
      </c>
      <c r="F26" s="18" t="s">
        <v>45</v>
      </c>
      <c r="G26" s="8">
        <v>2.0</v>
      </c>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4.25" customHeight="1">
      <c r="A27" s="1"/>
      <c r="B27" s="11"/>
      <c r="C27" s="8"/>
      <c r="D27" s="8" t="s">
        <v>89</v>
      </c>
      <c r="E27" s="8" t="s">
        <v>87</v>
      </c>
      <c r="F27" s="18" t="s">
        <v>45</v>
      </c>
      <c r="G27" s="8">
        <v>2.0</v>
      </c>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4.25" customHeight="1">
      <c r="A28" s="1"/>
      <c r="B28" s="11" t="s">
        <v>90</v>
      </c>
      <c r="C28" s="8" t="s">
        <v>91</v>
      </c>
      <c r="D28" s="8" t="s">
        <v>92</v>
      </c>
      <c r="E28" s="8" t="s">
        <v>93</v>
      </c>
      <c r="F28" s="18" t="s">
        <v>45</v>
      </c>
      <c r="G28" s="8">
        <v>1.0</v>
      </c>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4.25" customHeight="1">
      <c r="A29" s="1"/>
      <c r="B29" s="11"/>
      <c r="C29" s="8"/>
      <c r="D29" s="8" t="s">
        <v>94</v>
      </c>
      <c r="E29" s="8" t="s">
        <v>93</v>
      </c>
      <c r="F29" s="18" t="s">
        <v>45</v>
      </c>
      <c r="G29" s="8">
        <v>2.0</v>
      </c>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4.25" customHeight="1">
      <c r="A30" s="1"/>
      <c r="B30" s="11"/>
      <c r="C30" s="8"/>
      <c r="D30" s="8" t="s">
        <v>95</v>
      </c>
      <c r="E30" s="8" t="s">
        <v>96</v>
      </c>
      <c r="F30" s="18" t="s">
        <v>45</v>
      </c>
      <c r="G30" s="8">
        <v>1.0</v>
      </c>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4.25" customHeight="1">
      <c r="A31" s="1"/>
      <c r="B31" s="11" t="s">
        <v>97</v>
      </c>
      <c r="C31" s="8"/>
      <c r="D31" s="8"/>
      <c r="E31" s="8"/>
      <c r="F31" s="8"/>
      <c r="G31" s="8"/>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4.25" customHeight="1">
      <c r="A32" s="1"/>
      <c r="B32" s="11" t="s">
        <v>98</v>
      </c>
      <c r="C32" s="8" t="s">
        <v>99</v>
      </c>
      <c r="D32" s="8" t="s">
        <v>100</v>
      </c>
      <c r="E32" s="8" t="s">
        <v>87</v>
      </c>
      <c r="F32" s="18" t="s">
        <v>45</v>
      </c>
      <c r="G32" s="8">
        <v>3.0</v>
      </c>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4.25" customHeight="1">
      <c r="A33" s="1"/>
      <c r="B33" s="11"/>
      <c r="C33" s="8"/>
      <c r="D33" s="8" t="s">
        <v>101</v>
      </c>
      <c r="E33" s="8" t="s">
        <v>87</v>
      </c>
      <c r="F33" s="8" t="s">
        <v>102</v>
      </c>
      <c r="G33" s="8">
        <v>1.0</v>
      </c>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4.25" customHeight="1">
      <c r="A34" s="1"/>
      <c r="B34" s="11" t="s">
        <v>103</v>
      </c>
      <c r="C34" s="8" t="s">
        <v>104</v>
      </c>
      <c r="D34" s="8" t="s">
        <v>105</v>
      </c>
      <c r="E34" s="8" t="s">
        <v>106</v>
      </c>
      <c r="F34" s="18" t="s">
        <v>107</v>
      </c>
      <c r="G34" s="8">
        <v>1.0</v>
      </c>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4.25" customHeight="1">
      <c r="A35" s="1"/>
      <c r="B35" s="11"/>
      <c r="C35" s="8"/>
      <c r="D35" s="8" t="s">
        <v>108</v>
      </c>
      <c r="E35" s="8" t="s">
        <v>106</v>
      </c>
      <c r="F35" s="18" t="s">
        <v>45</v>
      </c>
      <c r="G35" s="8">
        <v>4.0</v>
      </c>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4.25" customHeight="1">
      <c r="A36" s="1"/>
      <c r="B36" s="11"/>
      <c r="C36" s="8"/>
      <c r="D36" s="8" t="s">
        <v>109</v>
      </c>
      <c r="E36" s="8" t="s">
        <v>106</v>
      </c>
      <c r="F36" s="18" t="s">
        <v>45</v>
      </c>
      <c r="G36" s="8">
        <v>1.0</v>
      </c>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4.25" customHeight="1">
      <c r="A37" s="1"/>
      <c r="B37" s="11" t="s">
        <v>110</v>
      </c>
      <c r="C37" s="8" t="s">
        <v>111</v>
      </c>
      <c r="D37" s="8" t="s">
        <v>112</v>
      </c>
      <c r="E37" s="8" t="s">
        <v>87</v>
      </c>
      <c r="F37" s="8" t="s">
        <v>102</v>
      </c>
      <c r="G37" s="8">
        <v>2.0</v>
      </c>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4.25" customHeight="1">
      <c r="A38" s="1"/>
      <c r="B38" s="11"/>
      <c r="C38" s="8"/>
      <c r="D38" s="8" t="s">
        <v>113</v>
      </c>
      <c r="E38" s="8" t="s">
        <v>87</v>
      </c>
      <c r="F38" s="18" t="s">
        <v>45</v>
      </c>
      <c r="G38" s="8">
        <v>1.0</v>
      </c>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4.25" customHeight="1">
      <c r="A39" s="1"/>
      <c r="B39" s="11"/>
      <c r="C39" s="8"/>
      <c r="D39" s="8" t="s">
        <v>114</v>
      </c>
      <c r="E39" s="8" t="s">
        <v>87</v>
      </c>
      <c r="F39" s="8" t="s">
        <v>102</v>
      </c>
      <c r="G39" s="8">
        <v>1.0</v>
      </c>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4.25" customHeight="1">
      <c r="A40" s="1"/>
      <c r="B40" s="11"/>
      <c r="C40" s="8"/>
      <c r="D40" s="8"/>
      <c r="E40" s="8"/>
      <c r="F40" s="8"/>
      <c r="G40" s="8"/>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4.25" customHeight="1">
      <c r="A41" s="1"/>
      <c r="B41" s="11"/>
      <c r="C41" s="8"/>
      <c r="D41" s="8"/>
      <c r="E41" s="8"/>
      <c r="F41" s="8"/>
      <c r="G41" s="8"/>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4.25" customHeight="1">
      <c r="A42" s="1"/>
      <c r="B42" s="11"/>
      <c r="C42" s="8"/>
      <c r="D42" s="8"/>
      <c r="E42" s="8"/>
      <c r="F42" s="8"/>
      <c r="G42" s="8"/>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4.25" customHeight="1">
      <c r="A43" s="1"/>
      <c r="B43" s="11"/>
      <c r="C43" s="8"/>
      <c r="D43" s="8"/>
      <c r="E43" s="8"/>
      <c r="F43" s="8"/>
      <c r="G43" s="8"/>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4.25" customHeight="1">
      <c r="A44" s="1"/>
      <c r="B44" s="11"/>
      <c r="C44" s="8"/>
      <c r="D44" s="8"/>
      <c r="E44" s="8"/>
      <c r="F44" s="8"/>
      <c r="G44" s="8"/>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4.25" customHeight="1">
      <c r="A45" s="1"/>
      <c r="B45" s="11"/>
      <c r="C45" s="8"/>
      <c r="D45" s="8"/>
      <c r="E45" s="8"/>
      <c r="F45" s="8"/>
      <c r="G45" s="8"/>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4.25" customHeight="1">
      <c r="A46" s="1"/>
      <c r="B46" s="11"/>
      <c r="C46" s="8"/>
      <c r="D46" s="8"/>
      <c r="E46" s="8"/>
      <c r="F46" s="8"/>
      <c r="G46" s="8"/>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4.25" customHeight="1">
      <c r="A47" s="1"/>
      <c r="B47" s="11"/>
      <c r="C47" s="8"/>
      <c r="D47" s="8"/>
      <c r="E47" s="8"/>
      <c r="F47" s="8"/>
      <c r="G47" s="8"/>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4.25" customHeight="1">
      <c r="A48" s="1"/>
      <c r="B48" s="11"/>
      <c r="C48" s="8"/>
      <c r="D48" s="8"/>
      <c r="E48" s="8"/>
      <c r="F48" s="8"/>
      <c r="G48" s="8"/>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4.25" customHeight="1">
      <c r="A49" s="1"/>
      <c r="B49" s="11"/>
      <c r="C49" s="8"/>
      <c r="D49" s="8"/>
      <c r="E49" s="8"/>
      <c r="F49" s="8"/>
      <c r="G49" s="8"/>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4.25" customHeight="1">
      <c r="A50" s="1"/>
      <c r="B50" s="11"/>
      <c r="C50" s="8"/>
      <c r="D50" s="8"/>
      <c r="E50" s="8"/>
      <c r="F50" s="8"/>
      <c r="G50" s="8"/>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4.25" customHeight="1">
      <c r="A51" s="1"/>
      <c r="B51" s="11"/>
      <c r="C51" s="8"/>
      <c r="D51" s="8"/>
      <c r="E51" s="8"/>
      <c r="F51" s="8"/>
      <c r="G51" s="8"/>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4.25" customHeight="1">
      <c r="A52" s="1"/>
      <c r="B52" s="11"/>
      <c r="C52" s="8"/>
      <c r="D52" s="8"/>
      <c r="E52" s="8"/>
      <c r="F52" s="8"/>
      <c r="G52" s="8"/>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4.25" customHeight="1">
      <c r="A53" s="1"/>
      <c r="B53" s="11"/>
      <c r="C53" s="8"/>
      <c r="D53" s="8"/>
      <c r="E53" s="8"/>
      <c r="F53" s="8"/>
      <c r="G53" s="8"/>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4.25" customHeight="1">
      <c r="A54" s="1"/>
      <c r="B54" s="11"/>
      <c r="C54" s="8"/>
      <c r="D54" s="8"/>
      <c r="E54" s="8"/>
      <c r="F54" s="8"/>
      <c r="G54" s="8"/>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4.25" customHeight="1">
      <c r="A55" s="1"/>
      <c r="B55" s="11"/>
      <c r="C55" s="8"/>
      <c r="D55" s="8"/>
      <c r="E55" s="8"/>
      <c r="F55" s="8"/>
      <c r="G55" s="8"/>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4.25" customHeight="1">
      <c r="A56" s="1"/>
      <c r="B56" s="11"/>
      <c r="C56" s="8"/>
      <c r="D56" s="8"/>
      <c r="E56" s="8"/>
      <c r="F56" s="8"/>
      <c r="G56" s="8"/>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4.25" customHeight="1">
      <c r="A57" s="1"/>
      <c r="B57" s="11"/>
      <c r="C57" s="8"/>
      <c r="D57" s="8"/>
      <c r="E57" s="8"/>
      <c r="F57" s="8"/>
      <c r="G57" s="8"/>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4.25" customHeight="1">
      <c r="A58" s="1"/>
      <c r="B58" s="11"/>
      <c r="C58" s="8"/>
      <c r="D58" s="8"/>
      <c r="E58" s="8"/>
      <c r="F58" s="8"/>
      <c r="G58" s="8"/>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4.25" customHeight="1">
      <c r="A59" s="1"/>
      <c r="B59" s="11"/>
      <c r="C59" s="8"/>
      <c r="D59" s="8"/>
      <c r="E59" s="8"/>
      <c r="F59" s="8"/>
      <c r="G59" s="8"/>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4.25" customHeight="1">
      <c r="A60" s="1"/>
      <c r="B60" s="11"/>
      <c r="C60" s="8"/>
      <c r="D60" s="8"/>
      <c r="E60" s="8"/>
      <c r="F60" s="8"/>
      <c r="G60" s="8"/>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4.25" customHeight="1">
      <c r="A61" s="1"/>
      <c r="B61" s="11"/>
      <c r="C61" s="8"/>
      <c r="D61" s="8"/>
      <c r="E61" s="8"/>
      <c r="F61" s="8"/>
      <c r="G61" s="8"/>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4.25" customHeight="1">
      <c r="A62" s="1"/>
      <c r="B62" s="11"/>
      <c r="C62" s="8"/>
      <c r="D62" s="8"/>
      <c r="E62" s="8"/>
      <c r="F62" s="8"/>
      <c r="G62" s="8"/>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4.25" customHeight="1">
      <c r="A63" s="1"/>
      <c r="B63" s="11"/>
      <c r="C63" s="8"/>
      <c r="D63" s="8"/>
      <c r="E63" s="8"/>
      <c r="F63" s="8"/>
      <c r="G63" s="8"/>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4.25" customHeight="1">
      <c r="A64" s="1"/>
      <c r="B64" s="11"/>
      <c r="C64" s="8"/>
      <c r="D64" s="8"/>
      <c r="E64" s="8"/>
      <c r="F64" s="8"/>
      <c r="G64" s="8"/>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4.25" customHeight="1">
      <c r="A65" s="1"/>
      <c r="B65" s="11"/>
      <c r="C65" s="8"/>
      <c r="D65" s="8"/>
      <c r="E65" s="8"/>
      <c r="F65" s="8"/>
      <c r="G65" s="8"/>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4.25" customHeight="1">
      <c r="A66" s="1"/>
      <c r="B66" s="11"/>
      <c r="C66" s="8"/>
      <c r="D66" s="8"/>
      <c r="E66" s="8"/>
      <c r="F66" s="8"/>
      <c r="G66" s="8"/>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4.25" customHeight="1">
      <c r="A67" s="1"/>
      <c r="B67" s="11"/>
      <c r="C67" s="8"/>
      <c r="D67" s="8"/>
      <c r="E67" s="8"/>
      <c r="F67" s="8"/>
      <c r="G67" s="8"/>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4.25" customHeight="1">
      <c r="A68" s="1"/>
      <c r="B68" s="11"/>
      <c r="C68" s="8"/>
      <c r="D68" s="8"/>
      <c r="E68" s="8"/>
      <c r="F68" s="8"/>
      <c r="G68" s="8"/>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4.25" customHeight="1">
      <c r="A69" s="1"/>
      <c r="B69" s="11"/>
      <c r="C69" s="8"/>
      <c r="D69" s="8"/>
      <c r="E69" s="8"/>
      <c r="F69" s="8"/>
      <c r="G69" s="8"/>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4.25" customHeight="1">
      <c r="A70" s="1"/>
      <c r="B70" s="11"/>
      <c r="C70" s="8"/>
      <c r="D70" s="8"/>
      <c r="E70" s="8"/>
      <c r="F70" s="8"/>
      <c r="G70" s="8"/>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4.25" customHeight="1">
      <c r="A71" s="1"/>
      <c r="B71" s="11"/>
      <c r="C71" s="8"/>
      <c r="D71" s="8"/>
      <c r="E71" s="8"/>
      <c r="F71" s="8"/>
      <c r="G71" s="8"/>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4.25" customHeight="1">
      <c r="A72" s="1"/>
      <c r="B72" s="11"/>
      <c r="C72" s="8"/>
      <c r="D72" s="8"/>
      <c r="E72" s="8"/>
      <c r="F72" s="8"/>
      <c r="G72" s="8"/>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4.25" customHeight="1">
      <c r="A73" s="1"/>
      <c r="B73" s="11"/>
      <c r="C73" s="8"/>
      <c r="D73" s="8"/>
      <c r="E73" s="8"/>
      <c r="F73" s="8"/>
      <c r="G73" s="8"/>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4.25" customHeight="1">
      <c r="A74" s="1"/>
      <c r="B74" s="11"/>
      <c r="C74" s="8"/>
      <c r="D74" s="8"/>
      <c r="E74" s="8"/>
      <c r="F74" s="8"/>
      <c r="G74" s="8"/>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4.25" customHeight="1">
      <c r="A75" s="1"/>
      <c r="B75" s="11"/>
      <c r="C75" s="8"/>
      <c r="D75" s="8"/>
      <c r="E75" s="8"/>
      <c r="F75" s="8"/>
      <c r="G75" s="8"/>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4.25" customHeight="1">
      <c r="A76" s="1"/>
      <c r="B76" s="11"/>
      <c r="C76" s="8"/>
      <c r="D76" s="8"/>
      <c r="E76" s="8"/>
      <c r="F76" s="8"/>
      <c r="G76" s="8"/>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4.25" customHeight="1">
      <c r="A77" s="1"/>
      <c r="B77" s="11"/>
      <c r="C77" s="8"/>
      <c r="D77" s="8"/>
      <c r="E77" s="8"/>
      <c r="F77" s="8"/>
      <c r="G77" s="8"/>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4.25" customHeight="1">
      <c r="A78" s="1"/>
      <c r="B78" s="11"/>
      <c r="C78" s="8"/>
      <c r="D78" s="8"/>
      <c r="E78" s="8"/>
      <c r="F78" s="8"/>
      <c r="G78" s="8"/>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4.25" customHeight="1">
      <c r="A79" s="1"/>
      <c r="B79" s="11"/>
      <c r="C79" s="8"/>
      <c r="D79" s="8"/>
      <c r="E79" s="8"/>
      <c r="F79" s="8"/>
      <c r="G79" s="8"/>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4.25" customHeight="1">
      <c r="A80" s="1"/>
      <c r="B80" s="11"/>
      <c r="C80" s="8"/>
      <c r="D80" s="8"/>
      <c r="E80" s="8"/>
      <c r="F80" s="8"/>
      <c r="G80" s="8"/>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4.25" customHeight="1">
      <c r="A81" s="1"/>
      <c r="B81" s="11"/>
      <c r="C81" s="8"/>
      <c r="D81" s="8"/>
      <c r="E81" s="8"/>
      <c r="F81" s="8"/>
      <c r="G81" s="8"/>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4.25" customHeight="1">
      <c r="A82" s="1"/>
      <c r="B82" s="11"/>
      <c r="C82" s="8"/>
      <c r="D82" s="8"/>
      <c r="E82" s="8"/>
      <c r="F82" s="8"/>
      <c r="G82" s="8"/>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36" man="1"/>
    <brk id="52" man="1"/>
    <brk id="21" man="1"/>
    <brk id="69"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28.5" customHeight="1">
      <c r="A1" s="1"/>
      <c r="B1" s="2" t="s">
        <v>1</v>
      </c>
      <c r="C1" s="1"/>
      <c r="D1" s="1"/>
      <c r="E1" s="1"/>
      <c r="F1" s="1"/>
      <c r="G1" s="1"/>
      <c r="H1" s="1"/>
      <c r="I1" s="1"/>
      <c r="J1" s="1"/>
      <c r="K1" s="1"/>
      <c r="L1" s="1"/>
      <c r="M1" s="1"/>
      <c r="N1" s="1"/>
      <c r="O1" s="1"/>
      <c r="P1" s="1"/>
      <c r="Q1" s="1"/>
      <c r="R1" s="1"/>
      <c r="S1" s="1"/>
      <c r="T1" s="1"/>
      <c r="U1" s="1"/>
      <c r="V1" s="1"/>
      <c r="W1" s="1"/>
      <c r="X1" s="1"/>
      <c r="Y1" s="1"/>
      <c r="Z1" s="1"/>
    </row>
    <row r="2" ht="21.0" customHeight="1">
      <c r="A2" s="1"/>
      <c r="B2" s="3" t="s">
        <v>2</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4" t="s">
        <v>4</v>
      </c>
      <c r="C4" s="4" t="s">
        <v>5</v>
      </c>
      <c r="D4" s="1"/>
      <c r="E4" s="1"/>
      <c r="F4" s="1"/>
      <c r="G4" s="1"/>
      <c r="H4" s="1"/>
      <c r="I4" s="1"/>
      <c r="J4" s="1"/>
      <c r="K4" s="1"/>
      <c r="L4" s="1"/>
      <c r="M4" s="1"/>
      <c r="N4" s="1"/>
      <c r="O4" s="1"/>
      <c r="P4" s="1"/>
      <c r="Q4" s="1"/>
      <c r="R4" s="1"/>
      <c r="S4" s="1"/>
      <c r="T4" s="1"/>
      <c r="U4" s="1"/>
      <c r="V4" s="1"/>
      <c r="W4" s="1"/>
      <c r="X4" s="1"/>
      <c r="Y4" s="1"/>
      <c r="Z4" s="1"/>
    </row>
    <row r="5" ht="30.0" customHeight="1">
      <c r="A5" s="1"/>
      <c r="B5" s="8" t="str">
        <f>'Historias de Usuario'!B5</f>
        <v>Identificador (ID) de item de product backlog</v>
      </c>
      <c r="C5" s="8" t="s">
        <v>18</v>
      </c>
      <c r="D5" s="1"/>
      <c r="E5" s="1"/>
      <c r="F5" s="1"/>
      <c r="G5" s="1"/>
      <c r="H5" s="1"/>
      <c r="I5" s="1"/>
      <c r="J5" s="1"/>
      <c r="K5" s="1"/>
      <c r="L5" s="1"/>
      <c r="M5" s="1"/>
      <c r="N5" s="1"/>
      <c r="O5" s="1"/>
      <c r="P5" s="1"/>
      <c r="Q5" s="1"/>
      <c r="R5" s="1"/>
      <c r="S5" s="1"/>
      <c r="T5" s="1"/>
      <c r="U5" s="1"/>
      <c r="V5" s="1"/>
      <c r="W5" s="1"/>
      <c r="X5" s="1"/>
      <c r="Y5" s="1"/>
      <c r="Z5" s="1"/>
    </row>
    <row r="6" ht="45.0" customHeight="1">
      <c r="A6" s="1"/>
      <c r="B6" s="8" t="str">
        <f>'Historias de Usuario'!C5</f>
        <v>Enunciado del item de Product Backlog</v>
      </c>
      <c r="C6" s="8" t="s">
        <v>24</v>
      </c>
      <c r="D6" s="1"/>
      <c r="E6" s="1"/>
      <c r="F6" s="1"/>
      <c r="G6" s="1"/>
      <c r="H6" s="1"/>
      <c r="I6" s="1"/>
      <c r="J6" s="1"/>
      <c r="K6" s="1"/>
      <c r="L6" s="1"/>
      <c r="M6" s="1"/>
      <c r="N6" s="1"/>
      <c r="O6" s="1"/>
      <c r="P6" s="1"/>
      <c r="Q6" s="1"/>
      <c r="R6" s="1"/>
      <c r="S6" s="1"/>
      <c r="T6" s="1"/>
      <c r="U6" s="1"/>
      <c r="V6" s="1"/>
      <c r="W6" s="1"/>
      <c r="X6" s="1"/>
      <c r="Y6" s="1"/>
      <c r="Z6" s="1"/>
    </row>
    <row r="7" ht="60.0" customHeight="1">
      <c r="A7" s="1"/>
      <c r="B7" s="8" t="s">
        <v>28</v>
      </c>
      <c r="C7" s="8" t="s">
        <v>30</v>
      </c>
      <c r="D7" s="1"/>
      <c r="E7" s="1"/>
      <c r="F7" s="1"/>
      <c r="G7" s="1"/>
      <c r="H7" s="1"/>
      <c r="I7" s="1"/>
      <c r="J7" s="1"/>
      <c r="K7" s="1"/>
      <c r="L7" s="1"/>
      <c r="M7" s="1"/>
      <c r="N7" s="1"/>
      <c r="O7" s="1"/>
      <c r="P7" s="1"/>
      <c r="Q7" s="1"/>
      <c r="R7" s="1"/>
      <c r="S7" s="1"/>
      <c r="T7" s="1"/>
      <c r="U7" s="1"/>
      <c r="V7" s="1"/>
      <c r="W7" s="1"/>
      <c r="X7" s="1"/>
      <c r="Y7" s="1"/>
      <c r="Z7" s="1"/>
    </row>
    <row r="8" ht="75.0" customHeight="1">
      <c r="A8" s="1"/>
      <c r="B8" s="8" t="s">
        <v>33</v>
      </c>
      <c r="C8" s="8" t="s">
        <v>36</v>
      </c>
      <c r="D8" s="1"/>
      <c r="E8" s="1"/>
      <c r="F8" s="1"/>
      <c r="G8" s="1"/>
      <c r="H8" s="1"/>
      <c r="I8" s="1"/>
      <c r="J8" s="1"/>
      <c r="K8" s="1"/>
      <c r="L8" s="1"/>
      <c r="M8" s="1"/>
      <c r="N8" s="1"/>
      <c r="O8" s="1"/>
      <c r="P8" s="1"/>
      <c r="Q8" s="1"/>
      <c r="R8" s="1"/>
      <c r="S8" s="1"/>
      <c r="T8" s="1"/>
      <c r="U8" s="1"/>
      <c r="V8" s="1"/>
      <c r="W8" s="1"/>
      <c r="X8" s="1"/>
      <c r="Y8" s="1"/>
      <c r="Z8" s="1"/>
    </row>
    <row r="9" ht="60.0" customHeight="1">
      <c r="A9" s="1"/>
      <c r="B9" s="8" t="s">
        <v>34</v>
      </c>
      <c r="C9" s="8" t="s">
        <v>39</v>
      </c>
      <c r="D9" s="1"/>
      <c r="E9" s="1"/>
      <c r="F9" s="1"/>
      <c r="G9" s="1"/>
      <c r="H9" s="1"/>
      <c r="I9" s="1"/>
      <c r="J9" s="1"/>
      <c r="K9" s="1"/>
      <c r="L9" s="1"/>
      <c r="M9" s="1"/>
      <c r="N9" s="1"/>
      <c r="O9" s="1"/>
      <c r="P9" s="1"/>
      <c r="Q9" s="1"/>
      <c r="R9" s="1"/>
      <c r="S9" s="1"/>
      <c r="T9" s="1"/>
      <c r="U9" s="1"/>
      <c r="V9" s="1"/>
      <c r="W9" s="1"/>
      <c r="X9" s="1"/>
      <c r="Y9" s="1"/>
      <c r="Z9" s="1"/>
    </row>
    <row r="10" ht="45.0" customHeight="1">
      <c r="A10" s="1"/>
      <c r="B10" s="8" t="s">
        <v>35</v>
      </c>
      <c r="C10" s="8" t="s">
        <v>40</v>
      </c>
      <c r="D10" s="1"/>
      <c r="E10" s="1"/>
      <c r="F10" s="1"/>
      <c r="G10" s="1"/>
      <c r="H10" s="1"/>
      <c r="I10" s="1"/>
      <c r="J10" s="1"/>
      <c r="K10" s="1"/>
      <c r="L10" s="1"/>
      <c r="M10" s="1"/>
      <c r="N10" s="1"/>
      <c r="O10" s="1"/>
      <c r="P10" s="1"/>
      <c r="Q10" s="1"/>
      <c r="R10" s="1"/>
      <c r="S10" s="1"/>
      <c r="T10" s="1"/>
      <c r="U10" s="1"/>
      <c r="V10" s="1"/>
      <c r="W10" s="1"/>
      <c r="X10" s="1"/>
      <c r="Y10" s="1"/>
      <c r="Z10" s="1"/>
    </row>
    <row r="11" ht="30.0" customHeight="1">
      <c r="A11" s="1"/>
      <c r="B11" s="8" t="s">
        <v>46</v>
      </c>
      <c r="C11" s="8" t="s">
        <v>47</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8" t="s">
        <v>37</v>
      </c>
      <c r="C12" s="8" t="s">
        <v>48</v>
      </c>
      <c r="D12" s="1"/>
      <c r="E12" s="1"/>
      <c r="F12" s="1"/>
      <c r="G12" s="1"/>
      <c r="H12" s="1"/>
      <c r="I12" s="1"/>
      <c r="J12" s="1"/>
      <c r="K12" s="1"/>
      <c r="L12" s="1"/>
      <c r="M12" s="1"/>
      <c r="N12" s="1"/>
      <c r="O12" s="1"/>
      <c r="P12" s="1"/>
      <c r="Q12" s="1"/>
      <c r="R12" s="1"/>
      <c r="S12" s="1"/>
      <c r="T12" s="1"/>
      <c r="U12" s="1"/>
      <c r="V12" s="1"/>
      <c r="W12" s="1"/>
      <c r="X12" s="1"/>
      <c r="Y12" s="1"/>
      <c r="Z12" s="1"/>
    </row>
    <row r="13" ht="45.0" customHeight="1">
      <c r="A13" s="1"/>
      <c r="B13" s="8" t="s">
        <v>38</v>
      </c>
      <c r="C13" s="8" t="s">
        <v>49</v>
      </c>
      <c r="D13" s="1"/>
      <c r="E13" s="1"/>
      <c r="F13" s="1"/>
      <c r="G13" s="1"/>
      <c r="H13" s="1"/>
      <c r="I13" s="1"/>
      <c r="J13" s="1"/>
      <c r="K13" s="1"/>
      <c r="L13" s="1"/>
      <c r="M13" s="1"/>
      <c r="N13" s="1"/>
      <c r="O13" s="1"/>
      <c r="P13" s="1"/>
      <c r="Q13" s="1"/>
      <c r="R13" s="1"/>
      <c r="S13" s="1"/>
      <c r="T13" s="1"/>
      <c r="U13" s="1"/>
      <c r="V13" s="1"/>
      <c r="W13" s="1"/>
      <c r="X13" s="1"/>
      <c r="Y13" s="1"/>
      <c r="Z13" s="1"/>
    </row>
    <row r="14" ht="30.0" customHeight="1">
      <c r="A14" s="1"/>
      <c r="B14" s="8" t="s">
        <v>29</v>
      </c>
      <c r="C14" s="8" t="s">
        <v>50</v>
      </c>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